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סיכום כללי" sheetId="1" r:id="rId5"/>
    <sheet state="visible" name="תקציב קאמפ ברן 26" sheetId="2" r:id="rId6"/>
    <sheet state="visible" name="תקציב קאמפ ברן 25" sheetId="3" r:id="rId7"/>
    <sheet state="visible" name="SuperNature 18.7" sheetId="4" r:id="rId8"/>
    <sheet state="visible" name="SuperNature 3.10" sheetId="5" r:id="rId9"/>
  </sheets>
  <definedNames/>
  <calcPr/>
</workbook>
</file>

<file path=xl/sharedStrings.xml><?xml version="1.0" encoding="utf-8"?>
<sst xmlns="http://schemas.openxmlformats.org/spreadsheetml/2006/main" count="368" uniqueCount="250">
  <si>
    <t>תאריך</t>
  </si>
  <si>
    <t>פירוט הוצאה</t>
  </si>
  <si>
    <t>הוצאות</t>
  </si>
  <si>
    <t>סה״כ תשלום</t>
  </si>
  <si>
    <t>הכנסות</t>
  </si>
  <si>
    <t>שולם</t>
  </si>
  <si>
    <t>מזומן/אשראי</t>
  </si>
  <si>
    <t>הכנסות בפועל</t>
  </si>
  <si>
    <t>סוג הוצאה</t>
  </si>
  <si>
    <t>כמות יחידות</t>
  </si>
  <si>
    <t>עלות ליחידה</t>
  </si>
  <si>
    <t>עלות כוללת</t>
  </si>
  <si>
    <t>שירותים נסורת</t>
  </si>
  <si>
    <t> דמי קאמפ</t>
  </si>
  <si>
    <t>הוצאות קאמפ ששולמו מהוויבז</t>
  </si>
  <si>
    <t>פירוט/תיאור תנועה</t>
  </si>
  <si>
    <t>חוב יוסף</t>
  </si>
  <si>
    <t>תיאור</t>
  </si>
  <si>
    <t>יוסף</t>
  </si>
  <si>
    <t>פינויי שירותים</t>
  </si>
  <si>
    <t>סכום</t>
  </si>
  <si>
    <t>ספק</t>
  </si>
  <si>
    <t>שולם/ לא שולם</t>
  </si>
  <si>
    <t>אתר ווייבז</t>
  </si>
  <si>
    <t>חוב לירון סלע על ברן 25</t>
  </si>
  <si>
    <t>כרטיסים</t>
  </si>
  <si>
    <t>כסף פחות עמלת אתר</t>
  </si>
  <si>
    <t>מזומן + שמן גנרטור</t>
  </si>
  <si>
    <t>הגברה +גנרטור + פלטה</t>
  </si>
  <si>
    <t>עובדי הקמה יוניברן</t>
  </si>
  <si>
    <t>שולחן + מקרר</t>
  </si>
  <si>
    <t>עזריאל מזומן</t>
  </si>
  <si>
    <t>קיזוז מול תקציב גיפטינג יוניברן</t>
  </si>
  <si>
    <t>שולחן עבודה נירוסטה</t>
  </si>
  <si>
    <t>צוות סדרני חנייה</t>
  </si>
  <si>
    <t>מקדמה מכולות ליולי עד נובמבר</t>
  </si>
  <si>
    <t>הובלה ניב מקרר גדול</t>
  </si>
  <si>
    <t xml:space="preserve"> פינוי שירותים</t>
  </si>
  <si>
    <t>ציוד היגיינה</t>
  </si>
  <si>
    <t>רווח מסיבת פקאנים</t>
  </si>
  <si>
    <t>כרטיס אחד שלא נכנס</t>
  </si>
  <si>
    <t>תקציב ברן 25׳ בפועל</t>
  </si>
  <si>
    <t>מיכל מים לבנים + מתאם ברז</t>
  </si>
  <si>
    <t>קארינה</t>
  </si>
  <si>
    <t>מחכים לסכום ל2 סדרנים נוסף</t>
  </si>
  <si>
    <t>מזומנים</t>
  </si>
  <si>
    <t>3 כרטיסי אומנים ברן</t>
  </si>
  <si>
    <t>ניקיון קומפלט</t>
  </si>
  <si>
    <t>סה״כ חוב</t>
  </si>
  <si>
    <t>מיכל מים אפורים</t>
  </si>
  <si>
    <t>אסף - ספק חיצוני</t>
  </si>
  <si>
    <t>שם המשלם</t>
  </si>
  <si>
    <t>איפה נרשם</t>
  </si>
  <si>
    <t>ירין</t>
  </si>
  <si>
    <t>צמידים</t>
  </si>
  <si>
    <t>מילוי מי שתייה</t>
  </si>
  <si>
    <t xml:space="preserve">אופק - גפרורית דפוס </t>
  </si>
  <si>
    <t>סיוון גל בויקו</t>
  </si>
  <si>
    <t>כניסות/רשימות</t>
  </si>
  <si>
    <t>תוספת של 70 ש״ח</t>
  </si>
  <si>
    <t>דן שטיין</t>
  </si>
  <si>
    <t>פינוי מים אפורים</t>
  </si>
  <si>
    <t>עילאי</t>
  </si>
  <si>
    <t>ביט</t>
  </si>
  <si>
    <t>אבטחה</t>
  </si>
  <si>
    <t>מקלחות</t>
  </si>
  <si>
    <t>ציוד מטבח חדש</t>
  </si>
  <si>
    <t>דקל +1, ג׳ון, קובי, בליס, אסטרל</t>
  </si>
  <si>
    <t>ציוד משלים למקלחת</t>
  </si>
  <si>
    <t>תקציב ברן 25׳ צפי לעליית מחיר</t>
  </si>
  <si>
    <t>יונתן</t>
  </si>
  <si>
    <t>אסף - רישפון</t>
  </si>
  <si>
    <t>הובלות</t>
  </si>
  <si>
    <t>אין שם שין אישרה כניסה</t>
  </si>
  <si>
    <t>שולחן+מקרר + שולחן עבודה נירוסטה</t>
  </si>
  <si>
    <t>קיזוזים</t>
  </si>
  <si>
    <t>עופרי קירק</t>
  </si>
  <si>
    <t>שירותים</t>
  </si>
  <si>
    <t>מקלחת</t>
  </si>
  <si>
    <t>מאיה כרמון</t>
  </si>
  <si>
    <t>3 כרטיס + רכב</t>
  </si>
  <si>
    <t>חשמל לקאמפ</t>
  </si>
  <si>
    <t>דניאל גלבאום</t>
  </si>
  <si>
    <t>9,000kw</t>
  </si>
  <si>
    <t xml:space="preserve">ביט </t>
  </si>
  <si>
    <t>ציוד לשירותים</t>
  </si>
  <si>
    <t>אופק - משימה לשליף</t>
  </si>
  <si>
    <t>אוראל סבג</t>
  </si>
  <si>
    <t xml:space="preserve">תקציב ברן 25 - צריך לקנות ב100-200 שקלים משומש מגעיל </t>
  </si>
  <si>
    <t>מזומן</t>
  </si>
  <si>
    <t>אנה שירה רוג</t>
  </si>
  <si>
    <t>ליינאפ</t>
  </si>
  <si>
    <t>הובלה</t>
  </si>
  <si>
    <t>אורי</t>
  </si>
  <si>
    <t>משאית הלוך חזור</t>
  </si>
  <si>
    <t>מזדמנת</t>
  </si>
  <si>
    <t>נרקיס פאר</t>
  </si>
  <si>
    <t>תוספת מיכל למקלחות</t>
  </si>
  <si>
    <t xml:space="preserve">ציוד מכולה </t>
  </si>
  <si>
    <t>באלות</t>
  </si>
  <si>
    <t>3 כרטיס לבד</t>
  </si>
  <si>
    <t>תפאורה</t>
  </si>
  <si>
    <t>תוספת מיכל פינויים</t>
  </si>
  <si>
    <t>אורי - ליאור דקו מזומן</t>
  </si>
  <si>
    <t>משה פיינגבוים + שני קאופמן</t>
  </si>
  <si>
    <t>מזומן אופק</t>
  </si>
  <si>
    <t>גד סעד</t>
  </si>
  <si>
    <t>אוכל</t>
  </si>
  <si>
    <t>תפריט שלם לשבוע</t>
  </si>
  <si>
    <t>כירטוס + מפיקה טכנית</t>
  </si>
  <si>
    <t>פינויים נסורת - להחזיר לאורי</t>
  </si>
  <si>
    <t>ביט מאורי</t>
  </si>
  <si>
    <t>תוספת 900 שקלים לטובת תאים טובים יותר</t>
  </si>
  <si>
    <t>מכולה עד דצמבר</t>
  </si>
  <si>
    <t>יוסף קארינה יונתן ירין ועילאי</t>
  </si>
  <si>
    <t>נאור אבן</t>
  </si>
  <si>
    <t>אמיר זכות</t>
  </si>
  <si>
    <t>תוספת 400 שקלים לטובת נוחות מקסימלית</t>
  </si>
  <si>
    <t>ציוד מטבח - כירת גז + מיחם</t>
  </si>
  <si>
    <t>צילום</t>
  </si>
  <si>
    <t>סה״כ קיזוז</t>
  </si>
  <si>
    <t>12,000kw</t>
  </si>
  <si>
    <t>אורי - אור דוגה</t>
  </si>
  <si>
    <t>ערן שרבני</t>
  </si>
  <si>
    <t>רוני ראובן</t>
  </si>
  <si>
    <t>קופונים</t>
  </si>
  <si>
    <t>100 קופונים של 25 שקלים</t>
  </si>
  <si>
    <t>שחף ממן</t>
  </si>
  <si>
    <t>?</t>
  </si>
  <si>
    <t>מטפי כיבוי אש</t>
  </si>
  <si>
    <t>יעל גלזר</t>
  </si>
  <si>
    <t>תוספת של עוד 3KWH לטובת חשמל לכל המחנה לכל מה שנצטרך</t>
  </si>
  <si>
    <t>ציוד השכרה</t>
  </si>
  <si>
    <t>גזיבו,כיסאות,שולחנות,מאוורים</t>
  </si>
  <si>
    <t>דודו ממן</t>
  </si>
  <si>
    <t>מכולה</t>
  </si>
  <si>
    <t>רותם קגן</t>
  </si>
  <si>
    <t>ביט לאור</t>
  </si>
  <si>
    <t>שופל לחנייה</t>
  </si>
  <si>
    <t>תוספת של 2000 שקלים - הובלת מכולה יקרה יותר</t>
  </si>
  <si>
    <t>יתרה</t>
  </si>
  <si>
    <t>אסף סגר</t>
  </si>
  <si>
    <t>מיכל בן דוב</t>
  </si>
  <si>
    <t>מילוי גז</t>
  </si>
  <si>
    <t>שטח חדש</t>
  </si>
  <si>
    <t>אסף</t>
  </si>
  <si>
    <t>רונה סוסל</t>
  </si>
  <si>
    <t>מקרר + מקפיא</t>
  </si>
  <si>
    <t>מקפיא</t>
  </si>
  <si>
    <t>חנייה</t>
  </si>
  <si>
    <t>ירידה של 150 שקלים - יש ספיירים משנת 25׳</t>
  </si>
  <si>
    <t>קרח</t>
  </si>
  <si>
    <t>לירן זיידמן</t>
  </si>
  <si>
    <t xml:space="preserve">תוספת של 1,000 שקלים - לחיזוק ושיפור ושפע </t>
  </si>
  <si>
    <t>פנסים עזריאל</t>
  </si>
  <si>
    <t>סיוון חקק</t>
  </si>
  <si>
    <t>צילייה מחנה</t>
  </si>
  <si>
    <t>ריסוס יתושים</t>
  </si>
  <si>
    <t>גל חשמל</t>
  </si>
  <si>
    <t>סה״כ</t>
  </si>
  <si>
    <t xml:space="preserve">עוד כירת גז או כלי בישול טובים </t>
  </si>
  <si>
    <t>מילוי בלון 12 ק״ג</t>
  </si>
  <si>
    <t>מקרר תעשייתי</t>
  </si>
  <si>
    <t>מקרר חדש תעשייתי שוכב עם מדפים, נוח יותר מהמקרר קוקה קולה</t>
  </si>
  <si>
    <t>שימרית</t>
  </si>
  <si>
    <t>סיכום</t>
  </si>
  <si>
    <t>הכנסות טוטאל</t>
  </si>
  <si>
    <t>גידור מחנה</t>
  </si>
  <si>
    <t>וייבז ביט מזומן</t>
  </si>
  <si>
    <t>נטו</t>
  </si>
  <si>
    <t>הובלה צילייה</t>
  </si>
  <si>
    <t xml:space="preserve">תקציב ברן 25׳, תלוי אם הברן יהיה בחורף או קיץ ישתנה </t>
  </si>
  <si>
    <t>פינויי חשל״ש</t>
  </si>
  <si>
    <t>רעות פופקין</t>
  </si>
  <si>
    <t>??</t>
  </si>
  <si>
    <t>???</t>
  </si>
  <si>
    <t>סולם 5 מ׳</t>
  </si>
  <si>
    <t>100 ק״ג עצים + תוספת אחסנה</t>
  </si>
  <si>
    <t>שליף</t>
  </si>
  <si>
    <t>במה</t>
  </si>
  <si>
    <t>ירידה של 100 מ״ר = ירידה של 1500 ש״ח</t>
  </si>
  <si>
    <t>טמבוריה גייר (חבל,שקי חול, 2 מפצלים, 2ראצ׳טים)</t>
  </si>
  <si>
    <t>גנרטור</t>
  </si>
  <si>
    <t>הגברה</t>
  </si>
  <si>
    <t>30 מ׳ לייקרה+ 50 מ׳ בד זול גידור מחנה ונגרר רחבה</t>
  </si>
  <si>
    <t>ירידה של 50 מ״ר =ירידה של 700 ש״ח</t>
  </si>
  <si>
    <t>פנסים</t>
  </si>
  <si>
    <t>ריסוס</t>
  </si>
  <si>
    <t>צלם</t>
  </si>
  <si>
    <t>מפיקה + שין</t>
  </si>
  <si>
    <t>תקציב הפתעות דק׳ 90</t>
  </si>
  <si>
    <t>שטח + חנייה</t>
  </si>
  <si>
    <t xml:space="preserve">עלות שקועה </t>
  </si>
  <si>
    <t>כמו ברן 25׳ לא שילמנו כלום !!!</t>
  </si>
  <si>
    <t>ירידה של 1000 ש״ח - תקלה של לקיחת עצים שלא שלנו בברן 25׳</t>
  </si>
  <si>
    <t>קונים עוד אחד - לקאמפ ולגיפט</t>
  </si>
  <si>
    <t>שופל חנייה</t>
  </si>
  <si>
    <t>סדרני חנייה + מנהל</t>
  </si>
  <si>
    <t>תוספת של 430 ש״ח - עוד גידור וקישוט המחנה</t>
  </si>
  <si>
    <t>ניקיון</t>
  </si>
  <si>
    <t>10% תקציב</t>
  </si>
  <si>
    <t>כספים שמקזזים הוצאות</t>
  </si>
  <si>
    <t>אופק ביט</t>
  </si>
  <si>
    <t>אסף - ביט מאור</t>
  </si>
  <si>
    <t>מזומן אחרי קיזוז</t>
  </si>
  <si>
    <t>תקציב גיוס לשנה</t>
  </si>
  <si>
    <t>לאדם</t>
  </si>
  <si>
    <t>גודל מחנה</t>
  </si>
  <si>
    <t>פירוט</t>
  </si>
  <si>
    <t>כרטיסים עד כה</t>
  </si>
  <si>
    <t>תקציב מחנה</t>
  </si>
  <si>
    <t>חוב</t>
  </si>
  <si>
    <t>תשלום על הוצאות</t>
  </si>
  <si>
    <t>סבב ג׳</t>
  </si>
  <si>
    <t>יעד גיוס</t>
  </si>
  <si>
    <t xml:space="preserve">רווח </t>
  </si>
  <si>
    <t>רווח</t>
  </si>
  <si>
    <t>סה״כ כולל הכל</t>
  </si>
  <si>
    <t>תיקון ותחזוק מייצג</t>
  </si>
  <si>
    <t>סבב ד׳</t>
  </si>
  <si>
    <t>חשמל רחבה</t>
  </si>
  <si>
    <t>מעקב תשלומים שנשלחו</t>
  </si>
  <si>
    <t>לאסף</t>
  </si>
  <si>
    <t>ממי</t>
  </si>
  <si>
    <t>למי</t>
  </si>
  <si>
    <t>כמה</t>
  </si>
  <si>
    <t>נטע פירות</t>
  </si>
  <si>
    <t>תאורה לייזרים</t>
  </si>
  <si>
    <t>אייל רוזנברג</t>
  </si>
  <si>
    <t>מכולות</t>
  </si>
  <si>
    <t>אור מפיקה</t>
  </si>
  <si>
    <t>הורדת מחיר דמי קאמפ</t>
  </si>
  <si>
    <t>אופק מהוויבז</t>
  </si>
  <si>
    <t>הפקה טכנית</t>
  </si>
  <si>
    <t>סוניק של אסף</t>
  </si>
  <si>
    <t>אופק וויבז</t>
  </si>
  <si>
    <t>ניר דגני</t>
  </si>
  <si>
    <t>מעיין במות בע״מ</t>
  </si>
  <si>
    <t>שחף גוטשטטין</t>
  </si>
  <si>
    <t>וויבז</t>
  </si>
  <si>
    <t>העברות</t>
  </si>
  <si>
    <t xml:space="preserve">סבב </t>
  </si>
  <si>
    <t xml:space="preserve">כמות </t>
  </si>
  <si>
    <t>מחיר</t>
  </si>
  <si>
    <t>מוקדמות</t>
  </si>
  <si>
    <t>ראשון</t>
  </si>
  <si>
    <t>שני</t>
  </si>
  <si>
    <t>אחרון</t>
  </si>
  <si>
    <t>רווח נטו</t>
  </si>
  <si>
    <t>חלוקה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</si>
</sst>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₪]#,##0.0"/>
    <numFmt numFmtId="165" formatCode="dd/mm/yyyy"/>
    <numFmt numFmtId="166" formatCode="[$ ₪]#,##0.00"/>
    <numFmt numFmtId="167" formatCode="d/m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/>
    <font>
      <u/>
      <color theme="1"/>
      <name val="Arial"/>
      <scheme val="minor"/>
    </font>
    <font>
      <sz val="8.0"/>
      <color theme="1"/>
      <name val="Arial"/>
    </font>
    <font>
      <b/>
      <color rgb="FF0000FF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2" fontId="1" numFmtId="0" xfId="0" applyAlignment="1" applyFill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2" fillId="0" fontId="5" numFmtId="0" xfId="0" applyBorder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3" fillId="0" fontId="5" numFmtId="0" xfId="0" applyBorder="1" applyFont="1"/>
    <xf borderId="0" fillId="0" fontId="4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readingOrder="0"/>
    </xf>
    <xf borderId="4" fillId="0" fontId="2" numFmtId="0" xfId="0" applyAlignment="1" applyBorder="1" applyFont="1">
      <alignment horizontal="center" vertical="bottom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5" fillId="0" fontId="2" numFmtId="0" xfId="0" applyAlignment="1" applyBorder="1" applyFont="1">
      <alignment horizontal="center" vertical="bottom"/>
    </xf>
    <xf borderId="0" fillId="5" fontId="3" numFmtId="0" xfId="0" applyAlignment="1" applyFill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4" fillId="0" fontId="4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1" numFmtId="166" xfId="0" applyAlignment="1" applyFill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7" fontId="3" numFmtId="0" xfId="0" applyAlignment="1" applyFill="1" applyFont="1">
      <alignment readingOrder="0"/>
    </xf>
    <xf borderId="0" fillId="0" fontId="4" numFmtId="164" xfId="0" applyAlignment="1" applyFont="1" applyNumberFormat="1">
      <alignment horizontal="center" vertical="bottom"/>
    </xf>
    <xf borderId="0" fillId="0" fontId="1" numFmtId="166" xfId="0" applyFont="1" applyNumberFormat="1"/>
    <xf borderId="0" fillId="0" fontId="4" numFmtId="0" xfId="0" applyAlignment="1" applyFont="1">
      <alignment readingOrder="0" vertical="bottom"/>
    </xf>
    <xf borderId="0" fillId="0" fontId="4" numFmtId="166" xfId="0" applyAlignment="1" applyFont="1" applyNumberFormat="1">
      <alignment horizontal="center" vertical="bottom"/>
    </xf>
    <xf borderId="0" fillId="8" fontId="3" numFmtId="0" xfId="0" applyAlignment="1" applyFill="1" applyFont="1">
      <alignment readingOrder="0"/>
    </xf>
    <xf borderId="0" fillId="0" fontId="4" numFmtId="0" xfId="0" applyAlignment="1" applyFont="1">
      <alignment horizontal="center" vertical="bottom"/>
    </xf>
    <xf borderId="0" fillId="0" fontId="1" numFmtId="166" xfId="0" applyAlignment="1" applyFont="1" applyNumberFormat="1">
      <alignment horizontal="center"/>
    </xf>
    <xf borderId="5" fillId="0" fontId="4" numFmtId="164" xfId="0" applyAlignment="1" applyBorder="1" applyFont="1" applyNumberFormat="1">
      <alignment horizontal="center" vertical="bottom"/>
    </xf>
    <xf borderId="0" fillId="9" fontId="1" numFmtId="0" xfId="0" applyAlignment="1" applyFill="1" applyFont="1">
      <alignment readingOrder="0"/>
    </xf>
    <xf borderId="0" fillId="8" fontId="1" numFmtId="166" xfId="0" applyAlignment="1" applyFill="1" applyFont="1" applyNumberFormat="1">
      <alignment readingOrder="0"/>
    </xf>
    <xf borderId="0" fillId="7" fontId="3" numFmtId="0" xfId="0" applyAlignment="1" applyFill="1" applyFont="1">
      <alignment readingOrder="0"/>
    </xf>
    <xf borderId="4" fillId="0" fontId="4" numFmtId="0" xfId="0" applyAlignment="1" applyBorder="1" applyFont="1">
      <alignment horizontal="center" vertical="bottom"/>
    </xf>
    <xf borderId="0" fillId="8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8" fontId="1" numFmtId="3" xfId="0" applyAlignment="1" applyFill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4" fillId="0" fontId="4" numFmtId="0" xfId="0" applyAlignment="1" applyBorder="1" applyFont="1">
      <alignment horizontal="center" readingOrder="0" vertical="bottom"/>
    </xf>
    <xf borderId="0" fillId="8" fontId="3" numFmtId="0" xfId="0" applyAlignment="1" applyFill="1" applyFont="1">
      <alignment readingOrder="0"/>
    </xf>
    <xf borderId="0" fillId="0" fontId="7" numFmtId="0" xfId="0" applyAlignment="1" applyFont="1">
      <alignment horizontal="center" vertical="bottom"/>
    </xf>
    <xf borderId="5" fillId="0" fontId="4" numFmtId="164" xfId="0" applyAlignment="1" applyBorder="1" applyFont="1" applyNumberFormat="1">
      <alignment horizontal="center" readingOrder="0" vertical="bottom"/>
    </xf>
    <xf borderId="0" fillId="0" fontId="3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9" fontId="1" numFmtId="166" xfId="0" applyAlignment="1" applyFill="1" applyFont="1" applyNumberFormat="1">
      <alignment readingOrder="0"/>
    </xf>
    <xf borderId="4" fillId="0" fontId="7" numFmtId="0" xfId="0" applyAlignment="1" applyBorder="1" applyFont="1">
      <alignment horizontal="center" vertical="bottom"/>
    </xf>
    <xf borderId="0" fillId="6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6" fontId="1" numFmtId="0" xfId="0" applyAlignment="1" applyFill="1" applyFont="1">
      <alignment readingOrder="0"/>
    </xf>
    <xf borderId="0" fillId="6" fontId="1" numFmtId="3" xfId="0" applyAlignment="1" applyFill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horizontal="center"/>
    </xf>
    <xf borderId="0" fillId="8" fontId="1" numFmtId="0" xfId="0" applyAlignment="1" applyFill="1" applyFont="1">
      <alignment readingOrder="0"/>
    </xf>
    <xf borderId="0" fillId="0" fontId="4" numFmtId="0" xfId="0" applyAlignment="1" applyFont="1">
      <alignment readingOrder="0" vertical="bottom"/>
    </xf>
    <xf borderId="0" fillId="2" fontId="8" numFmtId="166" xfId="0" applyAlignment="1" applyFill="1" applyFont="1" applyNumberFormat="1">
      <alignment horizontal="center"/>
    </xf>
    <xf borderId="0" fillId="4" fontId="8" numFmtId="166" xfId="0" applyAlignment="1" applyFill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10" fontId="8" numFmtId="166" xfId="0" applyAlignment="1" applyFill="1" applyFont="1" applyNumberFormat="1">
      <alignment horizontal="center"/>
    </xf>
    <xf borderId="0" fillId="11" fontId="3" numFmtId="0" xfId="0" applyAlignment="1" applyFill="1" applyFont="1">
      <alignment readingOrder="0"/>
    </xf>
    <xf borderId="0" fillId="11" fontId="3" numFmtId="3" xfId="0" applyAlignment="1" applyFill="1" applyFont="1" applyNumberFormat="1">
      <alignment readingOrder="0"/>
    </xf>
    <xf borderId="0" fillId="11" fontId="1" numFmtId="0" xfId="0" applyAlignment="1" applyFill="1" applyFont="1">
      <alignment readingOrder="0"/>
    </xf>
    <xf borderId="0" fillId="11" fontId="1" numFmtId="3" xfId="0" applyAlignment="1" applyFill="1" applyFont="1" applyNumberFormat="1">
      <alignment readingOrder="0"/>
    </xf>
    <xf borderId="0" fillId="0" fontId="3" numFmtId="0" xfId="0" applyFont="1"/>
    <xf borderId="0" fillId="6" fontId="3" numFmtId="3" xfId="0" applyAlignment="1" applyFill="1" applyFont="1" applyNumberFormat="1">
      <alignment readingOrder="0"/>
    </xf>
    <xf borderId="4" fillId="0" fontId="1" numFmtId="0" xfId="0" applyAlignment="1" applyBorder="1" applyFont="1">
      <alignment readingOrder="0"/>
    </xf>
    <xf borderId="0" fillId="0" fontId="1" numFmtId="164" xfId="0" applyFont="1" applyNumberFormat="1"/>
    <xf borderId="5" fillId="0" fontId="1" numFmtId="164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 readingOrder="0"/>
    </xf>
    <xf borderId="0" fillId="3" fontId="2" numFmtId="166" xfId="0" applyAlignment="1" applyFill="1" applyFont="1" applyNumberFormat="1">
      <alignment horizontal="center" vertical="bottom"/>
    </xf>
    <xf borderId="5" fillId="0" fontId="1" numFmtId="164" xfId="0" applyAlignment="1" applyBorder="1" applyFont="1" applyNumberFormat="1">
      <alignment horizontal="center" readingOrder="0"/>
    </xf>
    <xf borderId="0" fillId="6" fontId="1" numFmtId="166" xfId="0" applyFill="1" applyFont="1" applyNumberFormat="1"/>
    <xf borderId="0" fillId="8" fontId="1" numFmtId="166" xfId="0" applyFill="1" applyFont="1" applyNumberFormat="1"/>
    <xf borderId="4" fillId="0" fontId="1" numFmtId="0" xfId="0" applyBorder="1" applyFont="1"/>
    <xf borderId="0" fillId="8" fontId="1" numFmtId="3" xfId="0" applyFill="1" applyFont="1" applyNumberFormat="1"/>
    <xf borderId="5" fillId="0" fontId="1" numFmtId="0" xfId="0" applyBorder="1" applyFont="1"/>
    <xf borderId="0" fillId="0" fontId="3" numFmtId="166" xfId="0" applyFont="1" applyNumberFormat="1"/>
    <xf borderId="0" fillId="0" fontId="3" numFmtId="3" xfId="0" applyFont="1" applyNumberFormat="1"/>
    <xf borderId="5" fillId="3" fontId="2" numFmtId="166" xfId="0" applyAlignment="1" applyBorder="1" applyFill="1" applyFont="1" applyNumberFormat="1">
      <alignment horizontal="center" vertical="bottom"/>
    </xf>
    <xf borderId="0" fillId="0" fontId="1" numFmtId="0" xfId="0" applyFont="1"/>
    <xf borderId="0" fillId="0" fontId="1" numFmtId="0" xfId="0" applyAlignment="1" applyFont="1">
      <alignment horizontal="right" readingOrder="2"/>
    </xf>
    <xf borderId="5" fillId="0" fontId="1" numFmtId="166" xfId="0" applyBorder="1" applyFont="1" applyNumberFormat="1"/>
    <xf borderId="0" fillId="2" fontId="1" numFmtId="3" xfId="0" applyAlignment="1" applyFill="1" applyFont="1" applyNumberForma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Border="1" applyFont="1"/>
    <xf borderId="0" fillId="0" fontId="1" numFmtId="3" xfId="0" applyFont="1" applyNumberFormat="1"/>
    <xf borderId="0" fillId="0" fontId="9" numFmtId="0" xfId="0" applyAlignment="1" applyFont="1">
      <alignment readingOrder="0"/>
    </xf>
    <xf borderId="8" fillId="4" fontId="1" numFmtId="166" xfId="0" applyBorder="1" applyFill="1" applyFont="1" applyNumberFormat="1"/>
    <xf borderId="0" fillId="0" fontId="10" numFmtId="166" xfId="0" applyFont="1" applyNumberFormat="1"/>
    <xf borderId="0" fillId="0" fontId="11" numFmtId="3" xfId="0" applyFont="1" applyNumberFormat="1"/>
    <xf borderId="0" fillId="4" fontId="1" numFmtId="3" xfId="0" applyAlignment="1" applyFill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rightToLeft="1" workbookViewId="0"/>
  </sheetViews>
  <sheetFormatPr customHeight="1" defaultColWidth="12.63" defaultRowHeight="15.75"/>
  <cols>
    <col customWidth="1" min="4" max="4" width="16.75"/>
    <col customWidth="1" min="6" max="6" width="12.13"/>
  </cols>
  <sheetData>
    <row r="1">
      <c r="A1" s="1" t="s">
        <v>0</v>
      </c>
      <c r="B1" s="3" t="s">
        <v>2</v>
      </c>
      <c r="C1" s="17" t="s">
        <v>4</v>
      </c>
      <c r="D1" s="1" t="s">
        <v>15</v>
      </c>
      <c r="G1" s="1" t="s">
        <v>16</v>
      </c>
      <c r="H1" s="1"/>
      <c r="K1" s="1"/>
    </row>
    <row r="2">
      <c r="A2" s="21">
        <v>46174.0</v>
      </c>
      <c r="B2" s="22">
        <v>14000.0</v>
      </c>
      <c r="D2" s="24" t="s">
        <v>24</v>
      </c>
      <c r="G2" s="18" t="s">
        <v>27</v>
      </c>
      <c r="H2" s="25">
        <v>10070.0</v>
      </c>
      <c r="K2" s="1"/>
      <c r="L2" s="1"/>
      <c r="M2" s="1"/>
      <c r="N2" s="1"/>
    </row>
    <row r="3">
      <c r="A3" s="21">
        <v>46174.0</v>
      </c>
      <c r="B3" s="22">
        <v>7350.0</v>
      </c>
      <c r="D3" s="24" t="s">
        <v>29</v>
      </c>
      <c r="G3" s="28" t="s">
        <v>30</v>
      </c>
      <c r="H3" s="25">
        <v>3200.0</v>
      </c>
      <c r="K3" s="1"/>
    </row>
    <row r="4">
      <c r="A4" s="21">
        <v>46204.0</v>
      </c>
      <c r="C4" s="22">
        <v>5000.0</v>
      </c>
      <c r="D4" s="24" t="s">
        <v>32</v>
      </c>
      <c r="G4" s="1" t="s">
        <v>33</v>
      </c>
      <c r="H4" s="25">
        <v>800.0</v>
      </c>
      <c r="K4" s="1"/>
    </row>
    <row r="5">
      <c r="A5" s="21">
        <v>46204.0</v>
      </c>
      <c r="B5" s="22">
        <v>3000.0</v>
      </c>
      <c r="D5" s="24" t="s">
        <v>35</v>
      </c>
      <c r="G5" s="1" t="s">
        <v>36</v>
      </c>
      <c r="H5" s="25">
        <v>1000.0</v>
      </c>
      <c r="K5" s="1"/>
    </row>
    <row r="6">
      <c r="A6" s="21">
        <v>46221.0</v>
      </c>
      <c r="B6" s="36"/>
      <c r="C6" s="22">
        <f>49000+2500+5500</f>
        <v>57000</v>
      </c>
      <c r="D6" s="1" t="s">
        <v>39</v>
      </c>
      <c r="G6" s="1" t="s">
        <v>40</v>
      </c>
      <c r="H6" s="25">
        <v>170.0</v>
      </c>
      <c r="K6" s="1"/>
    </row>
    <row r="7">
      <c r="A7" s="21">
        <v>46225.0</v>
      </c>
      <c r="B7" s="36">
        <f>6*1470</f>
        <v>8820</v>
      </c>
      <c r="C7" s="36"/>
      <c r="D7" s="24" t="s">
        <v>46</v>
      </c>
      <c r="G7" s="43" t="s">
        <v>48</v>
      </c>
      <c r="H7" s="31">
        <f>SUM(H2:H6)</f>
        <v>15240</v>
      </c>
      <c r="K7" s="1"/>
    </row>
    <row r="8">
      <c r="A8" s="21">
        <v>46225.0</v>
      </c>
      <c r="B8" s="36">
        <f>800+3200</f>
        <v>4000</v>
      </c>
      <c r="C8" s="36"/>
      <c r="D8" s="24" t="s">
        <v>66</v>
      </c>
      <c r="E8" s="1" t="s">
        <v>67</v>
      </c>
      <c r="G8" s="43"/>
      <c r="H8" s="45"/>
      <c r="K8" s="1"/>
    </row>
    <row r="9">
      <c r="A9" s="21">
        <v>46225.0</v>
      </c>
      <c r="B9" s="36">
        <f>1000+1000</f>
        <v>2000</v>
      </c>
      <c r="C9" s="36"/>
      <c r="D9" s="24" t="s">
        <v>72</v>
      </c>
      <c r="E9" s="1" t="s">
        <v>74</v>
      </c>
      <c r="G9" s="43" t="s">
        <v>75</v>
      </c>
      <c r="H9" s="31"/>
      <c r="K9" s="1"/>
    </row>
    <row r="10">
      <c r="A10" s="21">
        <v>46235.0</v>
      </c>
      <c r="B10" s="22">
        <v>1000.0</v>
      </c>
      <c r="C10" s="36"/>
      <c r="D10" s="24" t="s">
        <v>78</v>
      </c>
      <c r="G10" s="1" t="s">
        <v>80</v>
      </c>
      <c r="H10" s="25">
        <f>1470*3</f>
        <v>4410</v>
      </c>
    </row>
    <row r="11">
      <c r="A11" s="21">
        <v>46235.0</v>
      </c>
      <c r="B11" s="36">
        <f>158+73</f>
        <v>231</v>
      </c>
      <c r="C11" s="36"/>
      <c r="D11" s="24" t="s">
        <v>98</v>
      </c>
      <c r="G11" s="1" t="s">
        <v>100</v>
      </c>
      <c r="H11" s="25">
        <f>2*1390</f>
        <v>2780</v>
      </c>
      <c r="K11" s="1"/>
    </row>
    <row r="12">
      <c r="A12" s="21">
        <v>46235.0</v>
      </c>
      <c r="B12" s="22">
        <v>1200.0</v>
      </c>
      <c r="C12" s="36"/>
      <c r="D12" s="24" t="s">
        <v>110</v>
      </c>
      <c r="G12" s="1" t="s">
        <v>111</v>
      </c>
      <c r="H12" s="25">
        <v>1140.0</v>
      </c>
    </row>
    <row r="13">
      <c r="A13" s="21">
        <v>46235.0</v>
      </c>
      <c r="B13" s="22">
        <v>3670.0</v>
      </c>
      <c r="C13" s="36"/>
      <c r="D13" s="24" t="s">
        <v>113</v>
      </c>
      <c r="G13" s="1" t="s">
        <v>114</v>
      </c>
      <c r="H13" s="25">
        <f>5*1200</f>
        <v>6000</v>
      </c>
      <c r="K13" s="1"/>
    </row>
    <row r="14">
      <c r="G14" s="1" t="s">
        <v>120</v>
      </c>
      <c r="H14" s="31">
        <f>SUM(H10:H13)</f>
        <v>14330</v>
      </c>
    </row>
    <row r="15">
      <c r="A15" s="57"/>
      <c r="B15" s="36"/>
      <c r="C15" s="36"/>
      <c r="D15" s="24"/>
    </row>
    <row r="16">
      <c r="A16" s="57"/>
      <c r="B16" s="36"/>
      <c r="C16" s="36"/>
      <c r="D16" s="57"/>
      <c r="G16" s="1" t="s">
        <v>140</v>
      </c>
      <c r="H16" s="31">
        <f>H7-H14</f>
        <v>910</v>
      </c>
    </row>
    <row r="17">
      <c r="A17" s="57"/>
      <c r="B17" s="36"/>
      <c r="C17" s="36"/>
      <c r="D17" s="57"/>
      <c r="K17" s="1"/>
    </row>
    <row r="18">
      <c r="A18" s="57"/>
      <c r="B18" s="36"/>
      <c r="C18" s="36"/>
      <c r="D18" s="57"/>
    </row>
    <row r="19">
      <c r="A19" s="57"/>
      <c r="B19" s="62"/>
      <c r="C19" s="62"/>
      <c r="D19" s="57"/>
    </row>
    <row r="20">
      <c r="A20" s="57"/>
      <c r="B20" s="62"/>
      <c r="C20" s="62"/>
      <c r="D20" s="57"/>
    </row>
    <row r="21">
      <c r="A21" s="57"/>
      <c r="B21" s="62"/>
      <c r="C21" s="62"/>
      <c r="D21" s="57"/>
    </row>
    <row r="22">
      <c r="A22" s="57"/>
      <c r="B22" s="62"/>
      <c r="C22" s="62"/>
      <c r="D22" s="57"/>
    </row>
    <row r="23">
      <c r="A23" s="57"/>
      <c r="B23" s="62"/>
      <c r="C23" s="62"/>
      <c r="D23" s="57"/>
    </row>
    <row r="24">
      <c r="A24" s="57"/>
      <c r="B24" s="62"/>
      <c r="C24" s="62"/>
      <c r="D24" s="57"/>
    </row>
    <row r="25">
      <c r="A25" s="57"/>
      <c r="B25" s="62"/>
      <c r="C25" s="62"/>
      <c r="D25" s="57"/>
    </row>
    <row r="26">
      <c r="A26" s="57"/>
      <c r="B26" s="62"/>
      <c r="C26" s="62"/>
      <c r="D26" s="57"/>
    </row>
    <row r="27">
      <c r="A27" s="57"/>
      <c r="B27" s="62"/>
      <c r="C27" s="62"/>
      <c r="D27" s="57"/>
    </row>
    <row r="28">
      <c r="A28" s="57"/>
      <c r="B28" s="62"/>
      <c r="C28" s="62"/>
      <c r="D28" s="57"/>
    </row>
    <row r="29">
      <c r="A29" s="57"/>
      <c r="B29" s="62"/>
      <c r="C29" s="62"/>
      <c r="D29" s="57"/>
    </row>
    <row r="30">
      <c r="A30" s="57"/>
      <c r="B30" s="62"/>
      <c r="C30" s="62"/>
      <c r="D30" s="57"/>
    </row>
    <row r="31">
      <c r="A31" s="57"/>
      <c r="B31" s="62"/>
      <c r="C31" s="62"/>
      <c r="D31" s="57"/>
    </row>
    <row r="32">
      <c r="A32" s="57"/>
      <c r="B32" s="62"/>
      <c r="C32" s="62"/>
      <c r="D32" s="57"/>
    </row>
    <row r="33">
      <c r="A33" s="57"/>
      <c r="B33" s="62"/>
      <c r="C33" s="62"/>
      <c r="D33" s="57"/>
    </row>
    <row r="34">
      <c r="A34" s="57"/>
      <c r="B34" s="62"/>
      <c r="C34" s="62"/>
      <c r="D34" s="57"/>
    </row>
    <row r="35">
      <c r="A35" s="57"/>
      <c r="B35" s="62"/>
      <c r="C35" s="62"/>
      <c r="D35" s="57"/>
    </row>
    <row r="36">
      <c r="A36" s="57"/>
      <c r="B36" s="62"/>
      <c r="C36" s="62"/>
      <c r="D36" s="57"/>
    </row>
    <row r="37">
      <c r="A37" s="57"/>
      <c r="B37" s="62"/>
      <c r="C37" s="62"/>
      <c r="D37" s="57"/>
    </row>
    <row r="38">
      <c r="A38" s="24" t="s">
        <v>165</v>
      </c>
      <c r="B38" s="65">
        <f t="shared" ref="B38:C38" si="1">SUM(B2:B37)</f>
        <v>45271</v>
      </c>
      <c r="C38" s="66">
        <f t="shared" si="1"/>
        <v>62000</v>
      </c>
      <c r="D38" s="68">
        <f>C38-B38</f>
        <v>16729</v>
      </c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5" max="5" width="44.13"/>
  </cols>
  <sheetData>
    <row r="1">
      <c r="A1" s="6" t="s">
        <v>1</v>
      </c>
      <c r="B1" s="8"/>
      <c r="C1" s="11" t="s">
        <v>3</v>
      </c>
      <c r="D1" s="13"/>
      <c r="G1" s="1" t="s">
        <v>13</v>
      </c>
      <c r="I1" s="1" t="s">
        <v>14</v>
      </c>
    </row>
    <row r="2">
      <c r="A2" s="16" t="s">
        <v>8</v>
      </c>
      <c r="B2" s="2" t="s">
        <v>9</v>
      </c>
      <c r="C2" s="2" t="s">
        <v>10</v>
      </c>
      <c r="D2" s="19" t="s">
        <v>11</v>
      </c>
      <c r="G2" s="1" t="s">
        <v>18</v>
      </c>
      <c r="H2" s="1" t="s">
        <v>5</v>
      </c>
      <c r="I2" s="1" t="s">
        <v>19</v>
      </c>
      <c r="J2" s="18">
        <v>1200.0</v>
      </c>
    </row>
    <row r="3">
      <c r="A3" s="23" t="s">
        <v>12</v>
      </c>
      <c r="B3" s="12">
        <v>5.0</v>
      </c>
      <c r="C3" s="14">
        <v>125.0</v>
      </c>
      <c r="D3" s="37">
        <f>B3*C3+1000</f>
        <v>1625</v>
      </c>
      <c r="E3" s="38" t="s">
        <v>41</v>
      </c>
      <c r="G3" s="1" t="s">
        <v>43</v>
      </c>
      <c r="H3" s="1" t="s">
        <v>5</v>
      </c>
    </row>
    <row r="4">
      <c r="A4" s="41" t="s">
        <v>37</v>
      </c>
      <c r="B4" s="12">
        <v>18.0</v>
      </c>
      <c r="C4" s="14">
        <v>125.0</v>
      </c>
      <c r="D4" s="37">
        <f t="shared" ref="D4:D11" si="1">B4*C4</f>
        <v>2250</v>
      </c>
      <c r="E4" s="38" t="s">
        <v>41</v>
      </c>
      <c r="G4" s="1" t="s">
        <v>53</v>
      </c>
      <c r="H4" s="1" t="s">
        <v>5</v>
      </c>
    </row>
    <row r="5">
      <c r="A5" s="41" t="s">
        <v>38</v>
      </c>
      <c r="B5" s="12">
        <v>1.0</v>
      </c>
      <c r="C5" s="14">
        <v>100.0</v>
      </c>
      <c r="D5" s="37">
        <f t="shared" si="1"/>
        <v>100</v>
      </c>
      <c r="E5" s="3" t="s">
        <v>59</v>
      </c>
      <c r="G5" s="1" t="s">
        <v>62</v>
      </c>
      <c r="H5" s="1" t="s">
        <v>5</v>
      </c>
    </row>
    <row r="6">
      <c r="A6" s="47" t="s">
        <v>42</v>
      </c>
      <c r="B6" s="12">
        <v>2.0</v>
      </c>
      <c r="C6" s="14">
        <v>1534.0</v>
      </c>
      <c r="D6" s="37">
        <f t="shared" si="1"/>
        <v>3068</v>
      </c>
      <c r="E6" s="3" t="s">
        <v>69</v>
      </c>
      <c r="G6" s="1" t="s">
        <v>70</v>
      </c>
      <c r="H6" s="1" t="s">
        <v>5</v>
      </c>
    </row>
    <row r="7">
      <c r="A7" s="41" t="s">
        <v>49</v>
      </c>
      <c r="B7" s="12">
        <v>1.0</v>
      </c>
      <c r="C7" s="14">
        <v>472.0</v>
      </c>
      <c r="D7" s="50">
        <f t="shared" si="1"/>
        <v>472</v>
      </c>
      <c r="E7" s="38" t="s">
        <v>88</v>
      </c>
    </row>
    <row r="8">
      <c r="A8" s="41" t="s">
        <v>55</v>
      </c>
      <c r="B8" s="12">
        <v>5.0</v>
      </c>
      <c r="C8" s="14">
        <v>590.0</v>
      </c>
      <c r="D8" s="37">
        <f t="shared" si="1"/>
        <v>2950</v>
      </c>
      <c r="E8" s="3" t="s">
        <v>97</v>
      </c>
    </row>
    <row r="9">
      <c r="A9" s="41" t="s">
        <v>61</v>
      </c>
      <c r="B9" s="12">
        <v>4.0</v>
      </c>
      <c r="C9" s="14">
        <v>708.0</v>
      </c>
      <c r="D9" s="37">
        <f t="shared" si="1"/>
        <v>2832</v>
      </c>
      <c r="E9" s="3" t="s">
        <v>102</v>
      </c>
    </row>
    <row r="10">
      <c r="A10" s="41" t="s">
        <v>65</v>
      </c>
      <c r="B10" s="35">
        <v>2.0</v>
      </c>
      <c r="C10" s="14">
        <v>750.0</v>
      </c>
      <c r="D10" s="37">
        <f t="shared" si="1"/>
        <v>1500</v>
      </c>
      <c r="E10" s="3" t="s">
        <v>112</v>
      </c>
    </row>
    <row r="11">
      <c r="A11" s="54" t="s">
        <v>68</v>
      </c>
      <c r="B11" s="12">
        <v>1.0</v>
      </c>
      <c r="C11" s="14">
        <v>500.0</v>
      </c>
      <c r="D11" s="37">
        <f t="shared" si="1"/>
        <v>500</v>
      </c>
      <c r="E11" s="3" t="s">
        <v>117</v>
      </c>
    </row>
    <row r="12">
      <c r="A12" s="41" t="s">
        <v>81</v>
      </c>
      <c r="B12" s="12" t="s">
        <v>121</v>
      </c>
      <c r="C12" s="14">
        <v>7500.0</v>
      </c>
      <c r="D12" s="50">
        <f>C12</f>
        <v>7500</v>
      </c>
      <c r="E12" s="3" t="s">
        <v>131</v>
      </c>
    </row>
    <row r="13">
      <c r="A13" s="41" t="s">
        <v>92</v>
      </c>
      <c r="B13" s="10" t="s">
        <v>135</v>
      </c>
      <c r="C13" s="14">
        <v>12000.0</v>
      </c>
      <c r="D13" s="50">
        <v>9000.0</v>
      </c>
      <c r="E13" s="3" t="s">
        <v>139</v>
      </c>
    </row>
    <row r="14">
      <c r="A14" s="23" t="s">
        <v>99</v>
      </c>
      <c r="B14" s="12">
        <v>20.0</v>
      </c>
      <c r="C14" s="14">
        <v>15.0</v>
      </c>
      <c r="D14" s="37">
        <f>B14*C14</f>
        <v>300</v>
      </c>
      <c r="E14" s="17" t="s">
        <v>150</v>
      </c>
    </row>
    <row r="15">
      <c r="A15" s="41" t="s">
        <v>107</v>
      </c>
      <c r="B15" s="35" t="s">
        <v>108</v>
      </c>
      <c r="C15" s="14">
        <v>8000.0</v>
      </c>
      <c r="D15" s="37">
        <f>C15</f>
        <v>8000</v>
      </c>
      <c r="E15" s="3" t="s">
        <v>153</v>
      </c>
    </row>
    <row r="16">
      <c r="A16" s="47" t="s">
        <v>118</v>
      </c>
      <c r="B16" s="12">
        <v>1.0</v>
      </c>
      <c r="C16" s="14">
        <v>850.0</v>
      </c>
      <c r="D16" s="50">
        <f>B16*C16+80</f>
        <v>930</v>
      </c>
      <c r="E16" s="3" t="s">
        <v>160</v>
      </c>
    </row>
    <row r="17">
      <c r="A17" s="47" t="s">
        <v>143</v>
      </c>
      <c r="B17" s="64">
        <v>1.0</v>
      </c>
      <c r="C17" s="14">
        <v>200.0</v>
      </c>
      <c r="D17" s="50">
        <v>200.0</v>
      </c>
      <c r="E17" s="38" t="s">
        <v>161</v>
      </c>
    </row>
    <row r="18">
      <c r="A18" s="41" t="s">
        <v>147</v>
      </c>
      <c r="B18" s="10" t="s">
        <v>162</v>
      </c>
      <c r="C18" s="30"/>
      <c r="D18" s="50">
        <v>0.0</v>
      </c>
      <c r="E18" s="3" t="s">
        <v>163</v>
      </c>
    </row>
    <row r="19">
      <c r="A19" s="41" t="s">
        <v>151</v>
      </c>
      <c r="B19" s="10">
        <f>D19/C19</f>
        <v>38</v>
      </c>
      <c r="C19" s="14">
        <v>30.0</v>
      </c>
      <c r="D19" s="37">
        <f>150+150+180+360+300</f>
        <v>1140</v>
      </c>
      <c r="E19" s="38" t="s">
        <v>171</v>
      </c>
    </row>
    <row r="20">
      <c r="A20" s="41" t="s">
        <v>156</v>
      </c>
      <c r="B20" s="12">
        <v>600.0</v>
      </c>
      <c r="C20" s="14">
        <v>14.0</v>
      </c>
      <c r="D20" s="37">
        <f>((B20*C20)/2)*1.18+((B20*C20)/2)</f>
        <v>9156</v>
      </c>
      <c r="E20" s="17" t="s">
        <v>180</v>
      </c>
    </row>
    <row r="21">
      <c r="A21" s="41" t="s">
        <v>167</v>
      </c>
      <c r="B21" s="12">
        <v>200.0</v>
      </c>
      <c r="C21" s="14">
        <v>14.0</v>
      </c>
      <c r="D21" s="37">
        <f t="shared" ref="D21:D25" si="2">B21*C21</f>
        <v>2800</v>
      </c>
      <c r="E21" s="17" t="s">
        <v>185</v>
      </c>
    </row>
    <row r="22">
      <c r="A22" s="75" t="s">
        <v>170</v>
      </c>
      <c r="B22" s="56">
        <v>1.0</v>
      </c>
      <c r="C22" s="58">
        <v>500.0</v>
      </c>
      <c r="D22" s="77">
        <f t="shared" si="2"/>
        <v>500</v>
      </c>
      <c r="E22" s="38" t="s">
        <v>192</v>
      </c>
    </row>
    <row r="23">
      <c r="A23" s="41" t="s">
        <v>172</v>
      </c>
      <c r="B23" s="12">
        <v>0.0</v>
      </c>
      <c r="C23" s="30">
        <v>220.0</v>
      </c>
      <c r="D23" s="37">
        <f t="shared" si="2"/>
        <v>0</v>
      </c>
      <c r="E23" s="38" t="s">
        <v>193</v>
      </c>
    </row>
    <row r="24">
      <c r="A24" s="78" t="s">
        <v>177</v>
      </c>
      <c r="B24" s="56">
        <v>1.0</v>
      </c>
      <c r="C24" s="58">
        <v>500.0</v>
      </c>
      <c r="D24" s="80">
        <f t="shared" si="2"/>
        <v>500</v>
      </c>
      <c r="E24" s="17" t="s">
        <v>194</v>
      </c>
    </row>
    <row r="25">
      <c r="A25" s="75" t="s">
        <v>182</v>
      </c>
      <c r="B25" s="56">
        <v>1.0</v>
      </c>
      <c r="C25" s="58">
        <v>2200.0</v>
      </c>
      <c r="D25" s="77">
        <f t="shared" si="2"/>
        <v>2200</v>
      </c>
      <c r="E25" s="3" t="s">
        <v>195</v>
      </c>
    </row>
    <row r="26">
      <c r="A26" s="75" t="s">
        <v>184</v>
      </c>
      <c r="B26" s="56">
        <v>1.0</v>
      </c>
      <c r="C26" s="58">
        <v>1000.0</v>
      </c>
      <c r="D26" s="80">
        <f>C26</f>
        <v>1000</v>
      </c>
      <c r="E26" s="3" t="s">
        <v>198</v>
      </c>
    </row>
    <row r="27">
      <c r="A27" s="83"/>
      <c r="D27" s="85"/>
    </row>
    <row r="28">
      <c r="A28" s="41" t="s">
        <v>190</v>
      </c>
      <c r="B28" s="10" t="s">
        <v>200</v>
      </c>
      <c r="C28" s="14">
        <f>0.1*SUM(D3:D26)</f>
        <v>5852.3</v>
      </c>
      <c r="D28" s="50">
        <f>C28</f>
        <v>5852.3</v>
      </c>
    </row>
    <row r="29">
      <c r="A29" s="83"/>
      <c r="C29" s="35" t="s">
        <v>159</v>
      </c>
      <c r="D29" s="88">
        <f>SUM(D3:D28)</f>
        <v>64375.3</v>
      </c>
      <c r="E29" s="1" t="s">
        <v>205</v>
      </c>
    </row>
    <row r="30">
      <c r="A30" s="83"/>
      <c r="B30" s="1" t="s">
        <v>206</v>
      </c>
      <c r="C30" s="1" t="s">
        <v>207</v>
      </c>
      <c r="D30" s="85"/>
      <c r="E30" s="1" t="s">
        <v>208</v>
      </c>
      <c r="F30" s="1" t="s">
        <v>20</v>
      </c>
      <c r="H30" s="1" t="s">
        <v>209</v>
      </c>
      <c r="J30" s="61">
        <v>60000.0</v>
      </c>
    </row>
    <row r="31">
      <c r="A31" s="75" t="s">
        <v>210</v>
      </c>
      <c r="B31" s="25">
        <v>1200.0</v>
      </c>
      <c r="C31" s="18">
        <v>35.0</v>
      </c>
      <c r="D31" s="91">
        <f>B31*C31</f>
        <v>42000</v>
      </c>
      <c r="E31" s="3" t="s">
        <v>211</v>
      </c>
      <c r="F31" s="92">
        <v>15000.0</v>
      </c>
      <c r="G31" s="1" t="s">
        <v>213</v>
      </c>
      <c r="H31" s="18">
        <v>165.0</v>
      </c>
      <c r="I31" s="18">
        <v>200.0</v>
      </c>
      <c r="J31" s="89">
        <f t="shared" ref="J31:J32" si="3">H31*I31</f>
        <v>33000</v>
      </c>
    </row>
    <row r="32">
      <c r="A32" s="93" t="s">
        <v>214</v>
      </c>
      <c r="B32" s="94"/>
      <c r="C32" s="94"/>
      <c r="D32" s="97">
        <f>D29-D31</f>
        <v>22375.3</v>
      </c>
      <c r="E32" s="1" t="s">
        <v>218</v>
      </c>
      <c r="F32" s="61">
        <v>5000.0</v>
      </c>
      <c r="G32" s="1" t="s">
        <v>219</v>
      </c>
      <c r="H32" s="18">
        <v>195.0</v>
      </c>
      <c r="I32" s="18">
        <v>400.0</v>
      </c>
      <c r="J32" s="89">
        <f t="shared" si="3"/>
        <v>78000</v>
      </c>
    </row>
    <row r="33">
      <c r="E33" s="1" t="s">
        <v>220</v>
      </c>
      <c r="F33" s="61">
        <v>16000.0</v>
      </c>
      <c r="J33" s="95">
        <f>SUM(J30:J32)</f>
        <v>171000</v>
      </c>
    </row>
    <row r="34">
      <c r="E34" s="1" t="s">
        <v>183</v>
      </c>
      <c r="F34" s="18">
        <v>35000.0</v>
      </c>
    </row>
    <row r="35">
      <c r="E35" s="1" t="s">
        <v>92</v>
      </c>
      <c r="F35" s="61">
        <v>6000.0</v>
      </c>
    </row>
    <row r="36">
      <c r="E36" s="1" t="s">
        <v>227</v>
      </c>
      <c r="F36" s="61">
        <v>20000.0</v>
      </c>
    </row>
    <row r="37">
      <c r="E37" s="1" t="s">
        <v>229</v>
      </c>
      <c r="F37" s="61">
        <v>16000.0</v>
      </c>
    </row>
    <row r="38">
      <c r="E38" s="1" t="s">
        <v>231</v>
      </c>
      <c r="F38" s="100">
        <f>D32</f>
        <v>22375.3</v>
      </c>
    </row>
    <row r="39">
      <c r="E39" s="1" t="s">
        <v>159</v>
      </c>
      <c r="F39" s="95">
        <f>SUM(F31:F38)</f>
        <v>135375.3</v>
      </c>
    </row>
  </sheetData>
  <mergeCells count="2">
    <mergeCell ref="A1:B1"/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9.75"/>
    <col customWidth="1" min="4" max="4" width="10.25"/>
  </cols>
  <sheetData>
    <row r="1">
      <c r="A1" s="2" t="s">
        <v>1</v>
      </c>
      <c r="C1" s="2" t="s">
        <v>3</v>
      </c>
      <c r="E1" s="5" t="s">
        <v>5</v>
      </c>
      <c r="F1" s="5" t="s">
        <v>6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7"/>
      <c r="F2" s="7"/>
      <c r="G2" s="9"/>
    </row>
    <row r="3">
      <c r="A3" s="10" t="s">
        <v>12</v>
      </c>
      <c r="B3" s="12">
        <v>3.0</v>
      </c>
      <c r="C3" s="14">
        <v>125.0</v>
      </c>
      <c r="D3" s="30">
        <f>B3*C3+1000</f>
        <v>1375</v>
      </c>
      <c r="E3" s="32"/>
      <c r="F3" s="10"/>
      <c r="G3" s="33"/>
      <c r="I3" s="25"/>
    </row>
    <row r="4">
      <c r="A4" s="35" t="s">
        <v>37</v>
      </c>
      <c r="B4" s="12">
        <v>12.0</v>
      </c>
      <c r="C4" s="14">
        <v>125.0</v>
      </c>
      <c r="D4" s="30">
        <f t="shared" ref="D4:D5" si="1">B4*C4</f>
        <v>1500</v>
      </c>
      <c r="E4" s="32"/>
      <c r="F4" s="10"/>
      <c r="G4" s="33"/>
      <c r="H4" s="25"/>
    </row>
    <row r="5">
      <c r="A5" s="35" t="s">
        <v>38</v>
      </c>
      <c r="B5" s="12">
        <v>1.0</v>
      </c>
      <c r="C5" s="14">
        <v>36.0</v>
      </c>
      <c r="D5" s="30">
        <f t="shared" si="1"/>
        <v>36</v>
      </c>
      <c r="E5" s="32"/>
      <c r="F5" s="10"/>
      <c r="G5" s="36"/>
      <c r="H5" s="25"/>
    </row>
    <row r="6">
      <c r="A6" s="12" t="s">
        <v>42</v>
      </c>
      <c r="B6" s="12">
        <v>2.0</v>
      </c>
      <c r="C6" s="14">
        <v>1534.0</v>
      </c>
      <c r="D6" s="30">
        <f>B6*C6+60</f>
        <v>3128</v>
      </c>
      <c r="E6" s="10"/>
      <c r="F6" s="32"/>
      <c r="G6" s="36"/>
      <c r="H6" s="25"/>
    </row>
    <row r="7">
      <c r="A7" s="35" t="s">
        <v>49</v>
      </c>
      <c r="B7" s="12">
        <v>1.0</v>
      </c>
      <c r="C7" s="14">
        <v>472.0</v>
      </c>
      <c r="D7" s="14">
        <f t="shared" ref="D7:D10" si="2">B7*C7</f>
        <v>472</v>
      </c>
      <c r="E7" s="32"/>
      <c r="F7" s="32"/>
      <c r="G7" s="33"/>
      <c r="H7" s="25"/>
    </row>
    <row r="8">
      <c r="A8" s="35" t="s">
        <v>55</v>
      </c>
      <c r="B8" s="12">
        <v>3.0</v>
      </c>
      <c r="C8" s="14">
        <v>590.0</v>
      </c>
      <c r="D8" s="30">
        <f t="shared" si="2"/>
        <v>1770</v>
      </c>
      <c r="E8" s="32"/>
      <c r="F8" s="10"/>
      <c r="G8" s="33"/>
      <c r="H8" s="25"/>
    </row>
    <row r="9">
      <c r="A9" s="35" t="s">
        <v>61</v>
      </c>
      <c r="B9" s="35">
        <v>2.0</v>
      </c>
      <c r="C9" s="14">
        <v>708.0</v>
      </c>
      <c r="D9" s="30">
        <f t="shared" si="2"/>
        <v>1416</v>
      </c>
      <c r="E9" s="32"/>
      <c r="F9" s="32"/>
      <c r="G9" s="33"/>
      <c r="H9" s="25"/>
    </row>
    <row r="10">
      <c r="A10" s="35" t="s">
        <v>65</v>
      </c>
      <c r="B10" s="35">
        <v>2.0</v>
      </c>
      <c r="C10" s="14">
        <v>105.0</v>
      </c>
      <c r="D10" s="30">
        <f t="shared" si="2"/>
        <v>210</v>
      </c>
      <c r="E10" s="32"/>
      <c r="F10" s="32"/>
      <c r="G10" s="33"/>
    </row>
    <row r="11">
      <c r="A11" s="49" t="s">
        <v>68</v>
      </c>
      <c r="B11" s="35"/>
      <c r="C11" s="30"/>
      <c r="D11" s="30">
        <f>79+69+13+31+98+98+98+500</f>
        <v>986</v>
      </c>
      <c r="E11" s="32"/>
      <c r="F11" s="10"/>
      <c r="G11" s="33"/>
    </row>
    <row r="12">
      <c r="A12" s="35" t="s">
        <v>81</v>
      </c>
      <c r="B12" s="12" t="s">
        <v>83</v>
      </c>
      <c r="C12" s="14">
        <v>5550.0</v>
      </c>
      <c r="D12" s="14">
        <f t="shared" ref="D12:D13" si="3">C12</f>
        <v>5550</v>
      </c>
      <c r="E12" s="32"/>
      <c r="F12" s="10"/>
      <c r="G12" s="33"/>
    </row>
    <row r="13">
      <c r="A13" s="35" t="s">
        <v>92</v>
      </c>
      <c r="B13" s="35" t="s">
        <v>94</v>
      </c>
      <c r="C13" s="14">
        <v>4000.0</v>
      </c>
      <c r="D13" s="14">
        <f t="shared" si="3"/>
        <v>4000</v>
      </c>
      <c r="E13" s="32"/>
      <c r="F13" s="10"/>
      <c r="G13" s="33"/>
    </row>
    <row r="14">
      <c r="A14" s="10" t="s">
        <v>99</v>
      </c>
      <c r="B14" s="12">
        <v>30.0</v>
      </c>
      <c r="C14" s="14">
        <v>15.0</v>
      </c>
      <c r="D14" s="30">
        <f>B14*C14</f>
        <v>450</v>
      </c>
      <c r="E14" s="32"/>
      <c r="F14" s="32"/>
      <c r="G14" s="33"/>
    </row>
    <row r="15">
      <c r="A15" s="35" t="s">
        <v>107</v>
      </c>
      <c r="B15" s="35" t="s">
        <v>108</v>
      </c>
      <c r="C15" s="14">
        <f>7806+140</f>
        <v>7946</v>
      </c>
      <c r="D15" s="30">
        <f>C15</f>
        <v>7946</v>
      </c>
      <c r="E15" s="32"/>
      <c r="F15" s="10"/>
      <c r="G15" s="33"/>
    </row>
    <row r="16">
      <c r="A16" s="12" t="s">
        <v>118</v>
      </c>
      <c r="B16" s="12">
        <v>1.0</v>
      </c>
      <c r="C16" s="14">
        <v>850.0</v>
      </c>
      <c r="D16" s="14">
        <f>B16*C16+80</f>
        <v>930</v>
      </c>
      <c r="E16" s="32"/>
      <c r="F16" s="10"/>
      <c r="G16" s="33"/>
    </row>
    <row r="17">
      <c r="A17" s="1" t="s">
        <v>129</v>
      </c>
      <c r="B17" s="56">
        <v>3.0</v>
      </c>
      <c r="C17" s="58">
        <v>159.0</v>
      </c>
      <c r="D17" s="58">
        <f>B17*C17</f>
        <v>477</v>
      </c>
      <c r="E17" s="32"/>
      <c r="F17" s="1"/>
      <c r="G17" s="36"/>
      <c r="H17" s="45"/>
      <c r="I17" s="1"/>
    </row>
    <row r="18">
      <c r="A18" s="12" t="s">
        <v>143</v>
      </c>
      <c r="B18" s="7"/>
      <c r="C18" s="30"/>
      <c r="D18" s="14">
        <v>200.0</v>
      </c>
      <c r="E18" s="32"/>
      <c r="F18" s="10"/>
      <c r="G18" s="33"/>
      <c r="H18" s="45"/>
      <c r="I18" s="1"/>
    </row>
    <row r="19">
      <c r="A19" s="35" t="s">
        <v>147</v>
      </c>
      <c r="B19" s="12" t="s">
        <v>148</v>
      </c>
      <c r="C19" s="30"/>
      <c r="D19" s="14">
        <v>900.0</v>
      </c>
      <c r="E19" s="32"/>
      <c r="F19" s="10"/>
      <c r="G19" s="33"/>
      <c r="H19" s="31"/>
      <c r="I19" s="1"/>
    </row>
    <row r="20">
      <c r="A20" s="35" t="s">
        <v>151</v>
      </c>
      <c r="B20" s="10">
        <f>D20/C20</f>
        <v>38</v>
      </c>
      <c r="C20" s="14">
        <v>30.0</v>
      </c>
      <c r="D20" s="30">
        <f>150+150+180+360+300</f>
        <v>1140</v>
      </c>
      <c r="E20" s="32"/>
      <c r="F20" s="10"/>
      <c r="G20" s="33"/>
      <c r="H20" s="31"/>
      <c r="I20" s="1"/>
    </row>
    <row r="21">
      <c r="A21" s="35" t="s">
        <v>156</v>
      </c>
      <c r="B21" s="12">
        <v>700.0</v>
      </c>
      <c r="C21" s="14">
        <v>14.0</v>
      </c>
      <c r="D21" s="30">
        <f>((B21*C21)/2)*1.18+((B21*C21)/2)</f>
        <v>10682</v>
      </c>
      <c r="E21" s="32"/>
      <c r="F21" s="32"/>
      <c r="G21" s="33"/>
      <c r="H21" s="31"/>
      <c r="I21" s="1"/>
    </row>
    <row r="22">
      <c r="A22" s="35" t="s">
        <v>167</v>
      </c>
      <c r="B22" s="35">
        <f>(40*2+20*2)*2.5</f>
        <v>300</v>
      </c>
      <c r="C22" s="14">
        <v>14.0</v>
      </c>
      <c r="D22" s="30">
        <f t="shared" ref="D22:D29" si="4">B22*C22</f>
        <v>4200</v>
      </c>
      <c r="E22" s="32"/>
      <c r="F22" s="64"/>
      <c r="G22" s="33"/>
      <c r="I22" s="1"/>
    </row>
    <row r="23">
      <c r="A23" s="1" t="s">
        <v>170</v>
      </c>
      <c r="B23" s="56">
        <v>1.0</v>
      </c>
      <c r="C23" s="58">
        <v>500.0</v>
      </c>
      <c r="D23" s="67">
        <f t="shared" si="4"/>
        <v>500</v>
      </c>
      <c r="E23" s="32"/>
      <c r="F23" s="32"/>
      <c r="G23" s="33"/>
      <c r="H23" s="45"/>
    </row>
    <row r="24">
      <c r="A24" s="35" t="s">
        <v>172</v>
      </c>
      <c r="B24" s="12">
        <v>0.0</v>
      </c>
      <c r="C24" s="30">
        <v>220.0</v>
      </c>
      <c r="D24" s="30">
        <f t="shared" si="4"/>
        <v>0</v>
      </c>
      <c r="E24" s="32"/>
      <c r="F24" s="32"/>
      <c r="G24" s="33"/>
      <c r="H24" s="45"/>
    </row>
    <row r="25">
      <c r="A25" s="56" t="s">
        <v>176</v>
      </c>
      <c r="B25" s="56">
        <v>1.0</v>
      </c>
      <c r="C25" s="58">
        <v>1280.0</v>
      </c>
      <c r="D25" s="67">
        <f t="shared" si="4"/>
        <v>1280</v>
      </c>
      <c r="E25" s="32"/>
      <c r="F25" s="32"/>
      <c r="G25" s="33"/>
      <c r="H25" s="31"/>
    </row>
    <row r="26">
      <c r="A26" s="24" t="s">
        <v>177</v>
      </c>
      <c r="B26" s="56">
        <v>1.0</v>
      </c>
      <c r="C26" s="58">
        <f>380+500+600</f>
        <v>1480</v>
      </c>
      <c r="D26" s="58">
        <f t="shared" si="4"/>
        <v>1480</v>
      </c>
      <c r="E26" s="64"/>
      <c r="F26" s="32"/>
      <c r="G26" s="33"/>
      <c r="H26" s="31"/>
    </row>
    <row r="27">
      <c r="A27" s="1" t="s">
        <v>181</v>
      </c>
      <c r="B27" s="56">
        <v>1.0</v>
      </c>
      <c r="C27" s="58">
        <v>235.0</v>
      </c>
      <c r="D27" s="58">
        <f t="shared" si="4"/>
        <v>235</v>
      </c>
      <c r="E27" s="32"/>
      <c r="F27" s="32"/>
    </row>
    <row r="28">
      <c r="A28" s="1" t="s">
        <v>182</v>
      </c>
      <c r="B28" s="56">
        <v>1.0</v>
      </c>
      <c r="C28" s="58">
        <v>2200.0</v>
      </c>
      <c r="D28" s="67">
        <f t="shared" si="4"/>
        <v>2200</v>
      </c>
      <c r="E28" s="1"/>
      <c r="F28" s="1"/>
    </row>
    <row r="29">
      <c r="A29" s="1" t="s">
        <v>184</v>
      </c>
      <c r="B29" s="18">
        <v>1.0</v>
      </c>
      <c r="C29" s="67">
        <f>1140/2</f>
        <v>570</v>
      </c>
      <c r="D29" s="67">
        <f t="shared" si="4"/>
        <v>570</v>
      </c>
    </row>
    <row r="30">
      <c r="C30" s="76"/>
      <c r="D30" s="76"/>
    </row>
    <row r="31">
      <c r="A31" s="35" t="s">
        <v>190</v>
      </c>
      <c r="B31" s="35">
        <v>1.0</v>
      </c>
      <c r="C31" s="14">
        <f>SUM(I3:I14)</f>
        <v>0</v>
      </c>
      <c r="D31" s="14">
        <f>C31</f>
        <v>0</v>
      </c>
    </row>
    <row r="32">
      <c r="C32" s="35" t="s">
        <v>159</v>
      </c>
      <c r="D32" s="79">
        <f>SUM(D3:D31)</f>
        <v>53633</v>
      </c>
    </row>
  </sheetData>
  <mergeCells count="2">
    <mergeCell ref="A1:B1"/>
    <mergeCell ref="C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6" max="6" width="15.38"/>
  </cols>
  <sheetData>
    <row r="1">
      <c r="A1" s="4" t="s">
        <v>2</v>
      </c>
      <c r="E1" s="15" t="s">
        <v>7</v>
      </c>
      <c r="J1" s="1"/>
      <c r="K1" s="1"/>
      <c r="L1" s="1"/>
      <c r="M1" s="18">
        <v>63.0</v>
      </c>
      <c r="N1" s="1"/>
    </row>
    <row r="2">
      <c r="A2" s="20" t="s">
        <v>17</v>
      </c>
      <c r="B2" s="20" t="s">
        <v>20</v>
      </c>
      <c r="C2" s="20" t="s">
        <v>21</v>
      </c>
      <c r="D2" s="20" t="s">
        <v>22</v>
      </c>
      <c r="E2" s="9" t="s">
        <v>23</v>
      </c>
      <c r="F2" s="9" t="s">
        <v>25</v>
      </c>
      <c r="G2" s="9" t="s">
        <v>26</v>
      </c>
      <c r="H2" s="9"/>
      <c r="I2" s="18"/>
      <c r="J2" s="1"/>
      <c r="K2" s="1"/>
      <c r="L2" s="1"/>
      <c r="M2" s="1"/>
      <c r="N2" s="1"/>
    </row>
    <row r="3">
      <c r="A3" s="26" t="s">
        <v>28</v>
      </c>
      <c r="B3" s="27">
        <v>7500.0</v>
      </c>
      <c r="C3" s="29" t="s">
        <v>31</v>
      </c>
      <c r="E3" s="9"/>
      <c r="F3" s="18">
        <v>728.0</v>
      </c>
      <c r="G3" s="25">
        <v>126362.0</v>
      </c>
      <c r="H3" s="31"/>
      <c r="I3" s="18"/>
      <c r="J3" s="1"/>
      <c r="K3" s="1"/>
      <c r="L3" s="1"/>
      <c r="M3" s="1"/>
      <c r="N3" s="1"/>
    </row>
    <row r="4">
      <c r="A4" s="34" t="s">
        <v>34</v>
      </c>
      <c r="B4" s="39">
        <f>540+540+880+840+840</f>
        <v>3640</v>
      </c>
      <c r="C4" s="40" t="s">
        <v>44</v>
      </c>
      <c r="E4" s="1" t="s">
        <v>45</v>
      </c>
      <c r="G4" s="25"/>
      <c r="H4" s="31"/>
      <c r="I4" s="18"/>
      <c r="J4" s="1"/>
      <c r="K4" s="1"/>
      <c r="M4" s="1"/>
      <c r="N4" s="1"/>
    </row>
    <row r="5">
      <c r="A5" s="42" t="s">
        <v>47</v>
      </c>
      <c r="B5" s="44">
        <v>3000.0</v>
      </c>
      <c r="C5" s="18" t="s">
        <v>50</v>
      </c>
      <c r="E5" s="9"/>
      <c r="F5" s="1" t="s">
        <v>51</v>
      </c>
      <c r="G5" s="45" t="s">
        <v>20</v>
      </c>
      <c r="H5" s="45" t="s">
        <v>52</v>
      </c>
      <c r="I5" s="18"/>
      <c r="J5" s="1"/>
      <c r="K5" s="1"/>
      <c r="L5" s="1"/>
      <c r="M5" s="1"/>
      <c r="N5" s="1"/>
    </row>
    <row r="6">
      <c r="A6" s="26" t="s">
        <v>54</v>
      </c>
      <c r="B6" s="27">
        <v>359.0</v>
      </c>
      <c r="C6" s="40" t="s">
        <v>56</v>
      </c>
      <c r="E6" s="9"/>
      <c r="F6" s="1" t="s">
        <v>57</v>
      </c>
      <c r="G6" s="25">
        <v>200.0</v>
      </c>
      <c r="H6" s="45" t="s">
        <v>58</v>
      </c>
      <c r="I6" s="18"/>
      <c r="J6" s="46" t="s">
        <v>60</v>
      </c>
      <c r="K6" s="18">
        <v>200.0</v>
      </c>
      <c r="L6" s="1" t="s">
        <v>63</v>
      </c>
      <c r="M6" s="1"/>
      <c r="N6" s="1"/>
    </row>
    <row r="7">
      <c r="A7" s="48" t="s">
        <v>64</v>
      </c>
      <c r="B7" s="39">
        <f>2400+120</f>
        <v>2520</v>
      </c>
      <c r="C7" s="40" t="s">
        <v>71</v>
      </c>
      <c r="E7" s="9"/>
      <c r="F7" s="1" t="s">
        <v>73</v>
      </c>
      <c r="G7" s="25">
        <v>300.0</v>
      </c>
      <c r="H7" s="45" t="s">
        <v>58</v>
      </c>
      <c r="I7" s="18"/>
      <c r="J7" s="46" t="s">
        <v>76</v>
      </c>
      <c r="K7" s="18">
        <v>200.0</v>
      </c>
      <c r="L7" s="1" t="s">
        <v>63</v>
      </c>
      <c r="M7" s="1"/>
      <c r="N7" s="1"/>
    </row>
    <row r="8">
      <c r="A8" s="48" t="s">
        <v>77</v>
      </c>
      <c r="B8" s="39">
        <v>2000.0</v>
      </c>
      <c r="C8" s="40" t="s">
        <v>71</v>
      </c>
      <c r="E8" s="9"/>
      <c r="F8" s="9" t="s">
        <v>79</v>
      </c>
      <c r="G8" s="18">
        <v>300.0</v>
      </c>
      <c r="H8" s="45" t="s">
        <v>58</v>
      </c>
      <c r="I8" s="18"/>
      <c r="J8" s="46" t="s">
        <v>82</v>
      </c>
      <c r="K8" s="25">
        <v>200.0</v>
      </c>
      <c r="L8" s="45" t="s">
        <v>84</v>
      </c>
      <c r="M8" s="1"/>
      <c r="N8" s="1"/>
    </row>
    <row r="9">
      <c r="A9" s="26" t="s">
        <v>85</v>
      </c>
      <c r="B9" s="27">
        <v>150.0</v>
      </c>
      <c r="C9" s="40" t="s">
        <v>86</v>
      </c>
      <c r="E9" s="9"/>
      <c r="F9" s="9" t="s">
        <v>87</v>
      </c>
      <c r="G9" s="51">
        <v>300.0</v>
      </c>
      <c r="H9" s="9" t="s">
        <v>89</v>
      </c>
      <c r="I9" s="18"/>
      <c r="J9" s="46" t="s">
        <v>90</v>
      </c>
      <c r="K9" s="18">
        <v>50.0</v>
      </c>
      <c r="L9" s="1" t="s">
        <v>63</v>
      </c>
      <c r="M9" s="1"/>
      <c r="N9" s="1"/>
    </row>
    <row r="10">
      <c r="A10" s="26" t="s">
        <v>91</v>
      </c>
      <c r="B10" s="27">
        <v>4000.0</v>
      </c>
      <c r="C10" s="40" t="s">
        <v>93</v>
      </c>
      <c r="E10" s="1"/>
      <c r="F10" s="1" t="s">
        <v>95</v>
      </c>
      <c r="G10" s="25">
        <v>300.0</v>
      </c>
      <c r="H10" s="45" t="s">
        <v>89</v>
      </c>
      <c r="I10" s="18"/>
      <c r="J10" s="46" t="s">
        <v>96</v>
      </c>
      <c r="K10" s="18">
        <v>300.0</v>
      </c>
      <c r="L10" s="1" t="s">
        <v>63</v>
      </c>
      <c r="M10" s="1"/>
      <c r="N10" s="1"/>
    </row>
    <row r="11">
      <c r="A11" s="52" t="s">
        <v>101</v>
      </c>
      <c r="B11" s="53">
        <v>5000.0</v>
      </c>
      <c r="C11" s="29" t="s">
        <v>103</v>
      </c>
      <c r="F11" s="1" t="s">
        <v>104</v>
      </c>
      <c r="G11" s="18">
        <v>350.0</v>
      </c>
      <c r="H11" s="1" t="s">
        <v>105</v>
      </c>
      <c r="I11" s="18"/>
      <c r="J11" s="46" t="s">
        <v>106</v>
      </c>
      <c r="K11" s="18">
        <v>300.0</v>
      </c>
      <c r="L11" s="1" t="s">
        <v>63</v>
      </c>
      <c r="M11" s="1"/>
      <c r="N11" s="1"/>
    </row>
    <row r="12">
      <c r="A12" s="48" t="s">
        <v>109</v>
      </c>
      <c r="B12" s="39">
        <f>1000+1500</f>
        <v>2500</v>
      </c>
      <c r="C12" s="40" t="s">
        <v>71</v>
      </c>
      <c r="E12" s="51"/>
      <c r="F12" s="1" t="s">
        <v>115</v>
      </c>
      <c r="G12" s="18">
        <v>200.0</v>
      </c>
      <c r="I12" s="18"/>
      <c r="J12" s="46" t="s">
        <v>116</v>
      </c>
      <c r="K12" s="18">
        <v>300.0</v>
      </c>
      <c r="L12" s="1" t="s">
        <v>63</v>
      </c>
      <c r="M12" s="1"/>
      <c r="N12" s="1"/>
    </row>
    <row r="13">
      <c r="A13" s="26" t="s">
        <v>119</v>
      </c>
      <c r="B13" s="55">
        <v>2000.0</v>
      </c>
      <c r="C13" s="40" t="s">
        <v>122</v>
      </c>
      <c r="E13" s="9"/>
      <c r="F13" s="9" t="s">
        <v>123</v>
      </c>
      <c r="G13" s="51">
        <v>250.0</v>
      </c>
      <c r="I13" s="18"/>
      <c r="J13" s="46" t="s">
        <v>124</v>
      </c>
      <c r="K13" s="25">
        <v>200.0</v>
      </c>
      <c r="L13" s="45" t="s">
        <v>63</v>
      </c>
      <c r="M13" s="1"/>
      <c r="N13" s="1"/>
    </row>
    <row r="14">
      <c r="A14" s="9" t="s">
        <v>125</v>
      </c>
      <c r="B14" s="25">
        <v>2500.0</v>
      </c>
      <c r="C14" s="40" t="s">
        <v>126</v>
      </c>
      <c r="E14" s="9"/>
      <c r="F14" s="1" t="s">
        <v>127</v>
      </c>
      <c r="G14" s="18">
        <v>150.0</v>
      </c>
      <c r="H14" s="45" t="s">
        <v>89</v>
      </c>
      <c r="I14" s="18" t="s">
        <v>128</v>
      </c>
      <c r="J14" s="46" t="s">
        <v>130</v>
      </c>
      <c r="K14" s="25">
        <v>300.0</v>
      </c>
      <c r="L14" s="45" t="s">
        <v>63</v>
      </c>
      <c r="M14" s="1"/>
      <c r="N14" s="1"/>
    </row>
    <row r="15">
      <c r="A15" s="34" t="s">
        <v>132</v>
      </c>
      <c r="B15" s="39">
        <v>3000.0</v>
      </c>
      <c r="C15" s="29" t="s">
        <v>133</v>
      </c>
      <c r="E15" s="9"/>
      <c r="F15" s="1" t="s">
        <v>134</v>
      </c>
      <c r="G15" s="18">
        <v>150.0</v>
      </c>
      <c r="H15" s="45" t="s">
        <v>89</v>
      </c>
      <c r="I15" s="18" t="s">
        <v>128</v>
      </c>
      <c r="J15" s="1" t="s">
        <v>136</v>
      </c>
      <c r="K15" s="25">
        <v>250.0</v>
      </c>
      <c r="L15" s="45" t="s">
        <v>137</v>
      </c>
      <c r="M15" s="1"/>
      <c r="N15" s="1"/>
    </row>
    <row r="16">
      <c r="A16" s="59" t="s">
        <v>138</v>
      </c>
      <c r="B16" s="60">
        <v>4750.0</v>
      </c>
      <c r="C16" s="1" t="s">
        <v>141</v>
      </c>
      <c r="E16" s="9"/>
      <c r="F16" s="1" t="s">
        <v>142</v>
      </c>
      <c r="G16" s="18">
        <v>150.0</v>
      </c>
      <c r="H16" s="45" t="s">
        <v>89</v>
      </c>
      <c r="I16" s="18" t="s">
        <v>128</v>
      </c>
      <c r="M16" s="1"/>
      <c r="N16" s="1"/>
    </row>
    <row r="17">
      <c r="A17" s="55" t="s">
        <v>144</v>
      </c>
      <c r="B17" s="60">
        <v>12000.0</v>
      </c>
      <c r="C17" s="18" t="s">
        <v>145</v>
      </c>
      <c r="E17" s="9"/>
      <c r="F17" s="1" t="s">
        <v>146</v>
      </c>
      <c r="G17" s="18">
        <v>150.0</v>
      </c>
      <c r="H17" s="45" t="s">
        <v>89</v>
      </c>
      <c r="I17" s="18"/>
      <c r="J17" s="1"/>
      <c r="K17" s="1"/>
      <c r="M17" s="1"/>
      <c r="N17" s="1"/>
    </row>
    <row r="18">
      <c r="A18" s="55" t="s">
        <v>149</v>
      </c>
      <c r="B18" s="60">
        <v>2000.0</v>
      </c>
      <c r="C18" s="18" t="s">
        <v>145</v>
      </c>
      <c r="D18" s="61"/>
      <c r="E18" s="9"/>
      <c r="F18" s="1" t="s">
        <v>152</v>
      </c>
      <c r="G18" s="18">
        <v>150.0</v>
      </c>
      <c r="H18" s="45" t="s">
        <v>89</v>
      </c>
      <c r="I18" s="18"/>
      <c r="J18" s="1"/>
      <c r="K18" s="1"/>
      <c r="L18" s="18"/>
      <c r="M18" s="1"/>
      <c r="N18" s="1"/>
    </row>
    <row r="19">
      <c r="A19" s="63" t="s">
        <v>154</v>
      </c>
      <c r="B19" s="42">
        <v>800.0</v>
      </c>
      <c r="E19" s="9"/>
      <c r="F19" s="1" t="s">
        <v>155</v>
      </c>
      <c r="G19" s="18">
        <v>150.0</v>
      </c>
      <c r="H19" s="45" t="s">
        <v>89</v>
      </c>
      <c r="I19" s="18"/>
      <c r="J19" s="1"/>
      <c r="K19" s="1"/>
      <c r="L19" s="18"/>
      <c r="M19" s="1"/>
      <c r="N19" s="1"/>
    </row>
    <row r="20">
      <c r="A20" s="63" t="s">
        <v>157</v>
      </c>
      <c r="B20" s="42">
        <v>1000.0</v>
      </c>
      <c r="F20" s="1" t="s">
        <v>158</v>
      </c>
      <c r="G20" s="18">
        <v>150.0</v>
      </c>
      <c r="H20" s="45" t="s">
        <v>89</v>
      </c>
      <c r="I20" s="18"/>
      <c r="J20" s="1"/>
      <c r="K20" s="1"/>
      <c r="L20" s="18"/>
      <c r="M20" s="1"/>
      <c r="N20" s="1"/>
    </row>
    <row r="21">
      <c r="A21" s="9" t="s">
        <v>159</v>
      </c>
      <c r="B21" s="31">
        <f>SUM(B2:B20)</f>
        <v>58719</v>
      </c>
      <c r="E21" s="1"/>
      <c r="F21" s="1" t="s">
        <v>164</v>
      </c>
      <c r="G21" s="18">
        <v>150.0</v>
      </c>
      <c r="H21" s="45" t="s">
        <v>89</v>
      </c>
      <c r="I21" s="18"/>
      <c r="J21" s="1"/>
      <c r="K21" s="1"/>
      <c r="L21" s="1"/>
      <c r="M21" s="1"/>
      <c r="N21" s="1"/>
    </row>
    <row r="22">
      <c r="A22" s="1" t="s">
        <v>166</v>
      </c>
      <c r="B22" s="31">
        <f>G3+5070+2300</f>
        <v>133732</v>
      </c>
      <c r="C22" s="1" t="s">
        <v>168</v>
      </c>
      <c r="D22" s="1"/>
      <c r="F22" s="1"/>
      <c r="H22" s="1"/>
      <c r="I22" s="18"/>
      <c r="J22" s="1"/>
      <c r="K22" s="1"/>
      <c r="L22" s="1"/>
      <c r="M22" s="1"/>
      <c r="N22" s="1"/>
    </row>
    <row r="23">
      <c r="A23" s="1" t="s">
        <v>169</v>
      </c>
      <c r="B23" s="31">
        <f>B22-B21</f>
        <v>75013</v>
      </c>
      <c r="I23" s="18"/>
      <c r="J23" s="1"/>
      <c r="K23" s="1"/>
      <c r="L23" s="1"/>
      <c r="M23" s="1"/>
      <c r="N23" s="1"/>
    </row>
    <row r="24">
      <c r="A24" s="1"/>
      <c r="B24" s="31"/>
      <c r="E24" s="1"/>
      <c r="F24" s="1" t="s">
        <v>173</v>
      </c>
      <c r="G24" s="25" t="s">
        <v>174</v>
      </c>
      <c r="H24" s="25" t="s">
        <v>175</v>
      </c>
      <c r="I24" s="18"/>
      <c r="J24" s="1"/>
      <c r="K24" s="1"/>
      <c r="L24" s="1"/>
      <c r="M24" s="1"/>
      <c r="N24" s="1"/>
    </row>
    <row r="25">
      <c r="E25" s="9"/>
      <c r="I25" s="18"/>
      <c r="J25" s="1"/>
      <c r="K25" s="1"/>
      <c r="L25" s="1"/>
      <c r="M25" s="1"/>
      <c r="N25" s="1"/>
    </row>
    <row r="26">
      <c r="A26" s="1" t="s">
        <v>2</v>
      </c>
      <c r="B26" s="31"/>
      <c r="E26" s="9"/>
      <c r="I26" s="18"/>
      <c r="J26" s="1"/>
      <c r="K26" s="1"/>
      <c r="L26" s="1"/>
      <c r="M26" s="1"/>
      <c r="N26" s="1"/>
    </row>
    <row r="27">
      <c r="A27" s="9" t="s">
        <v>178</v>
      </c>
      <c r="C27" s="1" t="s">
        <v>145</v>
      </c>
      <c r="G27" s="25"/>
      <c r="H27" s="31"/>
      <c r="I27" s="18"/>
      <c r="J27" s="1"/>
      <c r="K27" s="1"/>
      <c r="L27" s="1"/>
      <c r="M27" s="1"/>
      <c r="N27" s="1"/>
    </row>
    <row r="28">
      <c r="A28" s="69" t="s">
        <v>179</v>
      </c>
      <c r="B28" s="70">
        <v>2950.0</v>
      </c>
      <c r="C28" s="71" t="s">
        <v>179</v>
      </c>
      <c r="D28" s="72">
        <v>2050.0</v>
      </c>
      <c r="H28" s="73"/>
      <c r="I28" s="18"/>
      <c r="J28" s="1"/>
      <c r="K28" s="1"/>
      <c r="L28" s="1"/>
      <c r="M28" s="1"/>
      <c r="N28" s="1"/>
    </row>
    <row r="29">
      <c r="A29" s="26" t="s">
        <v>183</v>
      </c>
      <c r="B29" s="74">
        <v>7500.0</v>
      </c>
      <c r="C29" s="63" t="s">
        <v>186</v>
      </c>
      <c r="D29" s="42">
        <v>800.0</v>
      </c>
      <c r="G29" s="9"/>
      <c r="H29" s="73"/>
      <c r="I29" s="18"/>
      <c r="J29" s="1"/>
      <c r="K29" s="1"/>
      <c r="L29" s="1"/>
      <c r="M29" s="1"/>
      <c r="N29" s="1"/>
    </row>
    <row r="30">
      <c r="A30" s="59" t="s">
        <v>91</v>
      </c>
      <c r="B30" s="55">
        <v>4000.0</v>
      </c>
      <c r="C30" s="63" t="s">
        <v>187</v>
      </c>
      <c r="D30" s="42">
        <v>1000.0</v>
      </c>
      <c r="E30" s="1"/>
      <c r="G30" s="1"/>
      <c r="I30" s="18"/>
      <c r="J30" s="1"/>
      <c r="K30" s="1"/>
      <c r="L30" s="1"/>
      <c r="M30" s="1"/>
      <c r="N30" s="1"/>
    </row>
    <row r="31">
      <c r="A31" s="59" t="s">
        <v>188</v>
      </c>
      <c r="B31" s="55">
        <v>2000.0</v>
      </c>
      <c r="C31" s="63" t="s">
        <v>189</v>
      </c>
      <c r="D31" s="44">
        <v>2500.0</v>
      </c>
      <c r="I31" s="18"/>
      <c r="J31" s="1"/>
      <c r="K31" s="1"/>
      <c r="L31" s="1"/>
      <c r="M31" s="1"/>
      <c r="N31" s="1"/>
    </row>
    <row r="32">
      <c r="A32" s="59" t="s">
        <v>191</v>
      </c>
      <c r="B32" s="60">
        <v>14000.0</v>
      </c>
      <c r="C32" s="63" t="s">
        <v>132</v>
      </c>
      <c r="D32" s="44">
        <v>3000.0</v>
      </c>
      <c r="I32" s="18"/>
      <c r="J32" s="1"/>
      <c r="K32" s="1"/>
      <c r="L32" s="18"/>
      <c r="M32" s="1"/>
      <c r="N32" s="1"/>
    </row>
    <row r="33">
      <c r="A33" s="59" t="s">
        <v>85</v>
      </c>
      <c r="B33" s="55">
        <v>150.0</v>
      </c>
      <c r="C33" s="63" t="s">
        <v>77</v>
      </c>
      <c r="D33" s="42">
        <v>2000.0</v>
      </c>
      <c r="I33" s="18"/>
      <c r="J33" s="1"/>
      <c r="K33" s="1"/>
      <c r="L33" s="18"/>
      <c r="M33" s="1"/>
      <c r="N33" s="1"/>
    </row>
    <row r="34">
      <c r="A34" s="59" t="s">
        <v>54</v>
      </c>
      <c r="B34" s="81">
        <f>B6</f>
        <v>359</v>
      </c>
      <c r="C34" s="63" t="s">
        <v>64</v>
      </c>
      <c r="D34" s="82">
        <f>B7</f>
        <v>2520</v>
      </c>
      <c r="I34" s="18"/>
      <c r="J34" s="1"/>
      <c r="K34" s="18"/>
      <c r="L34" s="1"/>
    </row>
    <row r="35">
      <c r="A35" s="59" t="s">
        <v>196</v>
      </c>
      <c r="B35" s="55">
        <v>4750.0</v>
      </c>
      <c r="C35" s="63" t="s">
        <v>197</v>
      </c>
      <c r="D35" s="82">
        <f t="shared" ref="D35:D36" si="1">B4</f>
        <v>3640</v>
      </c>
      <c r="I35" s="18"/>
      <c r="J35" s="1"/>
      <c r="K35" s="18"/>
      <c r="L35" s="1"/>
    </row>
    <row r="36">
      <c r="C36" s="63" t="s">
        <v>199</v>
      </c>
      <c r="D36" s="84">
        <f t="shared" si="1"/>
        <v>3000</v>
      </c>
      <c r="I36" s="18"/>
      <c r="J36" s="1"/>
      <c r="K36" s="18"/>
      <c r="L36" s="18"/>
    </row>
    <row r="37">
      <c r="A37" s="9" t="s">
        <v>159</v>
      </c>
      <c r="B37" s="86">
        <f>SUM(B26:B36)</f>
        <v>35709</v>
      </c>
      <c r="C37" s="9" t="s">
        <v>159</v>
      </c>
      <c r="D37" s="87">
        <f>SUM(D28:D36)</f>
        <v>20510</v>
      </c>
      <c r="I37" s="18"/>
      <c r="J37" s="1"/>
      <c r="K37" s="18"/>
      <c r="L37" s="18"/>
    </row>
    <row r="38">
      <c r="I38" s="18"/>
      <c r="J38" s="1"/>
      <c r="K38" s="1"/>
      <c r="L38" s="1"/>
    </row>
    <row r="39">
      <c r="A39" s="9" t="s">
        <v>201</v>
      </c>
      <c r="I39" s="18"/>
      <c r="J39" s="1"/>
      <c r="K39" s="1"/>
      <c r="L39" s="1"/>
    </row>
    <row r="40">
      <c r="A40" s="1" t="s">
        <v>202</v>
      </c>
      <c r="B40" s="61">
        <v>2050.0</v>
      </c>
      <c r="C40" s="1" t="s">
        <v>203</v>
      </c>
      <c r="D40" s="18">
        <v>250.0</v>
      </c>
      <c r="I40" s="18"/>
      <c r="J40" s="1"/>
      <c r="K40" s="1"/>
    </row>
    <row r="41">
      <c r="C41" s="1" t="s">
        <v>204</v>
      </c>
      <c r="D41" s="89">
        <f>5070-2050</f>
        <v>3020</v>
      </c>
      <c r="I41" s="18"/>
      <c r="J41" s="1"/>
      <c r="K41" s="1"/>
      <c r="L41" s="1"/>
    </row>
    <row r="42">
      <c r="A42" s="9" t="s">
        <v>159</v>
      </c>
      <c r="B42" s="87">
        <f>B40</f>
        <v>2050</v>
      </c>
      <c r="C42" s="9" t="s">
        <v>159</v>
      </c>
      <c r="D42" s="73">
        <f>D41+D40</f>
        <v>3270</v>
      </c>
      <c r="I42" s="18"/>
      <c r="J42" s="1"/>
      <c r="K42" s="1"/>
      <c r="L42" s="90"/>
    </row>
    <row r="43">
      <c r="I43" s="18"/>
      <c r="J43" s="1"/>
      <c r="K43" s="1"/>
      <c r="L43" s="1"/>
    </row>
    <row r="44">
      <c r="A44" s="1" t="s">
        <v>212</v>
      </c>
      <c r="B44" s="31">
        <f>B37-B42</f>
        <v>33659</v>
      </c>
      <c r="C44" s="1" t="s">
        <v>212</v>
      </c>
      <c r="D44" s="95">
        <f>D37-D42</f>
        <v>17240</v>
      </c>
      <c r="I44" s="18"/>
      <c r="J44" s="1"/>
      <c r="K44" s="1"/>
      <c r="L44" s="1"/>
    </row>
    <row r="45">
      <c r="A45" s="1" t="s">
        <v>215</v>
      </c>
      <c r="B45" s="61">
        <v>49000.0</v>
      </c>
      <c r="C45" s="1" t="s">
        <v>216</v>
      </c>
      <c r="D45" s="61">
        <v>26013.0</v>
      </c>
      <c r="I45" s="18"/>
      <c r="J45" s="1"/>
      <c r="K45" s="1"/>
      <c r="L45" s="1"/>
    </row>
    <row r="46">
      <c r="A46" s="96" t="s">
        <v>217</v>
      </c>
      <c r="B46" s="98">
        <f>B44+B45</f>
        <v>82659</v>
      </c>
      <c r="C46" s="96" t="s">
        <v>217</v>
      </c>
      <c r="D46" s="99">
        <f>D44+D45</f>
        <v>43253</v>
      </c>
      <c r="I46" s="18"/>
      <c r="J46" s="1"/>
      <c r="K46" s="1"/>
      <c r="L46" s="1"/>
    </row>
    <row r="47">
      <c r="A47" s="1" t="s">
        <v>221</v>
      </c>
      <c r="I47" s="18"/>
      <c r="J47" s="1"/>
      <c r="K47" s="18"/>
      <c r="L47" s="1"/>
    </row>
    <row r="48">
      <c r="A48" s="1" t="s">
        <v>222</v>
      </c>
      <c r="B48" s="1" t="s">
        <v>223</v>
      </c>
      <c r="C48" s="1" t="s">
        <v>224</v>
      </c>
      <c r="D48" s="1" t="s">
        <v>225</v>
      </c>
      <c r="I48" s="18"/>
      <c r="J48" s="1"/>
      <c r="K48" s="18"/>
      <c r="L48" s="1"/>
    </row>
    <row r="49">
      <c r="B49" s="1" t="s">
        <v>202</v>
      </c>
      <c r="C49" s="1" t="s">
        <v>226</v>
      </c>
      <c r="D49" s="18">
        <v>750.0</v>
      </c>
      <c r="I49" s="18"/>
      <c r="J49" s="1"/>
      <c r="K49" s="18"/>
      <c r="L49" s="18"/>
    </row>
    <row r="50">
      <c r="B50" s="1" t="s">
        <v>202</v>
      </c>
      <c r="C50" s="1" t="s">
        <v>228</v>
      </c>
      <c r="D50" s="18">
        <v>1000.0</v>
      </c>
      <c r="I50" s="18"/>
      <c r="J50" s="1"/>
      <c r="K50" s="1"/>
      <c r="L50" s="1"/>
    </row>
    <row r="51">
      <c r="B51" s="1" t="s">
        <v>202</v>
      </c>
      <c r="C51" s="1" t="s">
        <v>230</v>
      </c>
      <c r="D51" s="18">
        <v>1250.0</v>
      </c>
      <c r="I51" s="18"/>
      <c r="J51" s="1"/>
      <c r="K51" s="1"/>
      <c r="L51" s="18"/>
    </row>
    <row r="52">
      <c r="B52" s="1" t="s">
        <v>232</v>
      </c>
      <c r="C52" s="1" t="s">
        <v>233</v>
      </c>
      <c r="D52" s="61">
        <v>5000.0</v>
      </c>
      <c r="I52" s="18"/>
      <c r="J52" s="1"/>
      <c r="K52" s="1"/>
      <c r="L52" s="18"/>
    </row>
    <row r="53">
      <c r="B53" s="1" t="s">
        <v>232</v>
      </c>
      <c r="C53" s="1" t="s">
        <v>234</v>
      </c>
      <c r="D53" s="61">
        <v>17700.0</v>
      </c>
      <c r="I53" s="18"/>
      <c r="J53" s="1"/>
      <c r="K53" s="18"/>
      <c r="L53" s="18"/>
    </row>
    <row r="54">
      <c r="B54" s="1" t="s">
        <v>235</v>
      </c>
      <c r="C54" s="1" t="s">
        <v>236</v>
      </c>
      <c r="D54" s="61">
        <v>5100.0</v>
      </c>
      <c r="I54" s="18"/>
      <c r="J54" s="1"/>
      <c r="K54" s="18"/>
      <c r="L54" s="18"/>
    </row>
    <row r="55">
      <c r="B55" s="1" t="s">
        <v>235</v>
      </c>
      <c r="C55" s="1" t="s">
        <v>237</v>
      </c>
      <c r="D55" s="61">
        <v>10000.0</v>
      </c>
      <c r="I55" s="18"/>
      <c r="J55" s="1"/>
      <c r="K55" s="1"/>
      <c r="L55" s="1"/>
    </row>
    <row r="56">
      <c r="B56" s="18" t="s">
        <v>235</v>
      </c>
      <c r="C56" s="18" t="s">
        <v>238</v>
      </c>
      <c r="D56" s="18">
        <v>2400.0</v>
      </c>
      <c r="I56" s="18"/>
      <c r="J56" s="1"/>
      <c r="K56" s="18"/>
      <c r="L56" s="18"/>
    </row>
    <row r="57">
      <c r="B57" s="18" t="s">
        <v>239</v>
      </c>
      <c r="C57" s="18" t="s">
        <v>240</v>
      </c>
      <c r="D57" s="18">
        <v>53.0</v>
      </c>
      <c r="I57" s="18"/>
      <c r="J57" s="1"/>
      <c r="K57" s="18"/>
      <c r="L57" s="18"/>
    </row>
    <row r="58">
      <c r="A58" s="1" t="s">
        <v>159</v>
      </c>
      <c r="D58" s="31">
        <f>SUM(D48:D57)</f>
        <v>43253</v>
      </c>
      <c r="I58" s="18"/>
      <c r="J58" s="1"/>
      <c r="K58" s="18"/>
      <c r="L58" s="18"/>
    </row>
    <row r="59">
      <c r="A59" s="1" t="s">
        <v>140</v>
      </c>
      <c r="D59" s="31">
        <f>D46-D58</f>
        <v>0</v>
      </c>
      <c r="I59" s="18"/>
      <c r="J59" s="1"/>
      <c r="K59" s="18"/>
      <c r="L59" s="90"/>
    </row>
    <row r="60">
      <c r="I60" s="18"/>
      <c r="J60" s="1"/>
      <c r="K60" s="1"/>
      <c r="L60" s="1"/>
    </row>
    <row r="61">
      <c r="I61" s="18"/>
      <c r="J61" s="1"/>
      <c r="K61" s="1"/>
      <c r="L61" s="18"/>
    </row>
    <row r="62">
      <c r="I62" s="18"/>
      <c r="J62" s="1"/>
      <c r="K62" s="1"/>
      <c r="L62" s="1"/>
    </row>
    <row r="63">
      <c r="I63" s="18"/>
      <c r="J63" s="1"/>
      <c r="K63" s="1"/>
      <c r="L63" s="1"/>
    </row>
    <row r="64">
      <c r="I64" s="18"/>
      <c r="J64" s="18"/>
      <c r="K64" s="18"/>
      <c r="L64" s="18"/>
    </row>
  </sheetData>
  <mergeCells count="3">
    <mergeCell ref="A1:D1"/>
    <mergeCell ref="E1:H1"/>
    <mergeCell ref="A47:D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2</v>
      </c>
      <c r="F1" s="1" t="s">
        <v>4</v>
      </c>
    </row>
    <row r="2">
      <c r="A2" s="1" t="s">
        <v>101</v>
      </c>
      <c r="B2" s="61">
        <v>6000.0</v>
      </c>
      <c r="C2" s="1" t="s">
        <v>89</v>
      </c>
      <c r="F2" s="1" t="s">
        <v>241</v>
      </c>
      <c r="G2" s="1" t="s">
        <v>242</v>
      </c>
      <c r="H2" s="1" t="s">
        <v>243</v>
      </c>
      <c r="I2" s="1" t="s">
        <v>159</v>
      </c>
    </row>
    <row r="3">
      <c r="A3" s="1" t="s">
        <v>91</v>
      </c>
      <c r="B3" s="61">
        <v>8000.0</v>
      </c>
      <c r="C3" s="1" t="s">
        <v>89</v>
      </c>
      <c r="F3" s="1" t="s">
        <v>244</v>
      </c>
      <c r="G3" s="18">
        <v>50.0</v>
      </c>
      <c r="H3" s="25">
        <v>140.0</v>
      </c>
      <c r="I3" s="31">
        <f t="shared" ref="I3:I6" si="1">G3*H3</f>
        <v>7000</v>
      </c>
    </row>
    <row r="4">
      <c r="A4" s="26" t="s">
        <v>28</v>
      </c>
      <c r="B4" s="27">
        <v>7500.0</v>
      </c>
      <c r="C4" s="1" t="s">
        <v>89</v>
      </c>
      <c r="F4" s="1" t="s">
        <v>245</v>
      </c>
      <c r="G4" s="18">
        <v>100.0</v>
      </c>
      <c r="H4" s="25">
        <v>180.0</v>
      </c>
      <c r="I4" s="31">
        <f t="shared" si="1"/>
        <v>18000</v>
      </c>
    </row>
    <row r="5">
      <c r="A5" s="34" t="s">
        <v>34</v>
      </c>
      <c r="B5" s="39">
        <f>540+540+880+840+840</f>
        <v>3640</v>
      </c>
      <c r="F5" s="1" t="s">
        <v>246</v>
      </c>
      <c r="G5" s="18">
        <v>175.0</v>
      </c>
      <c r="H5" s="25">
        <v>220.0</v>
      </c>
      <c r="I5" s="31">
        <f t="shared" si="1"/>
        <v>38500</v>
      </c>
    </row>
    <row r="6">
      <c r="A6" s="42" t="s">
        <v>47</v>
      </c>
      <c r="B6" s="44">
        <v>3000.0</v>
      </c>
      <c r="F6" s="1" t="s">
        <v>247</v>
      </c>
      <c r="G6" s="18">
        <v>275.0</v>
      </c>
      <c r="H6" s="25">
        <v>275.0</v>
      </c>
      <c r="I6" s="31">
        <f t="shared" si="1"/>
        <v>75625</v>
      </c>
    </row>
    <row r="7">
      <c r="A7" s="26" t="s">
        <v>54</v>
      </c>
      <c r="B7" s="27">
        <v>359.0</v>
      </c>
      <c r="F7" s="1" t="s">
        <v>159</v>
      </c>
      <c r="G7" s="89">
        <f>SUM(G3:G6)</f>
        <v>600</v>
      </c>
      <c r="H7" s="31">
        <f>I7/G7</f>
        <v>231.875</v>
      </c>
      <c r="I7" s="31">
        <f>SUM(I3:I6)</f>
        <v>139125</v>
      </c>
    </row>
    <row r="8">
      <c r="A8" s="48" t="s">
        <v>64</v>
      </c>
      <c r="B8" s="39">
        <f>2400+120</f>
        <v>2520</v>
      </c>
      <c r="F8" s="1" t="s">
        <v>248</v>
      </c>
      <c r="G8" s="31">
        <f>I7-B18</f>
        <v>92156</v>
      </c>
    </row>
    <row r="9">
      <c r="A9" s="48" t="s">
        <v>77</v>
      </c>
      <c r="B9" s="39">
        <v>2000.0</v>
      </c>
      <c r="F9" s="1"/>
    </row>
    <row r="10">
      <c r="A10" s="26" t="s">
        <v>85</v>
      </c>
      <c r="B10" s="27">
        <v>150.0</v>
      </c>
      <c r="F10" s="1" t="s">
        <v>249</v>
      </c>
      <c r="G10" s="101"/>
    </row>
    <row r="11">
      <c r="A11" s="48" t="s">
        <v>109</v>
      </c>
      <c r="B11" s="39">
        <f>1000+1500</f>
        <v>2500</v>
      </c>
      <c r="F11" s="1" t="s">
        <v>145</v>
      </c>
      <c r="G11" s="102">
        <f>1/3</f>
        <v>0.3333333333</v>
      </c>
      <c r="H11" s="1" t="s">
        <v>178</v>
      </c>
      <c r="I11" s="103">
        <f>1-G11</f>
        <v>0.6666666667</v>
      </c>
    </row>
    <row r="12">
      <c r="A12" s="26" t="s">
        <v>119</v>
      </c>
      <c r="B12" s="55">
        <v>2000.0</v>
      </c>
      <c r="F12" s="31">
        <f>G8*G11</f>
        <v>30718.66667</v>
      </c>
      <c r="H12" s="31">
        <f>G8*I11</f>
        <v>61437.33333</v>
      </c>
    </row>
    <row r="13">
      <c r="A13" s="9" t="s">
        <v>125</v>
      </c>
      <c r="B13" s="25">
        <v>2500.0</v>
      </c>
    </row>
    <row r="14">
      <c r="A14" s="34" t="s">
        <v>132</v>
      </c>
      <c r="B14" s="39">
        <v>3000.0</v>
      </c>
    </row>
    <row r="15">
      <c r="A15" s="55" t="s">
        <v>149</v>
      </c>
      <c r="B15" s="60">
        <v>2000.0</v>
      </c>
    </row>
    <row r="16">
      <c r="A16" s="63" t="s">
        <v>154</v>
      </c>
      <c r="B16" s="42">
        <v>800.0</v>
      </c>
    </row>
    <row r="17">
      <c r="A17" s="63" t="s">
        <v>157</v>
      </c>
      <c r="B17" s="42">
        <v>1000.0</v>
      </c>
    </row>
    <row r="18">
      <c r="A18" s="1" t="s">
        <v>159</v>
      </c>
      <c r="B18" s="95">
        <f>SUM(B2:B17)</f>
        <v>46969</v>
      </c>
    </row>
  </sheetData>
  <drawing r:id="rId1"/>
</worksheet>
</file>