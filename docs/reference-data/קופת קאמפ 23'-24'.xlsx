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liff day2day spending" sheetId="1" r:id="rId5"/>
    <sheet state="visible" name="מסיבת חורשה" sheetId="2" r:id="rId6"/>
    <sheet state="visible" name="Shliff Gagarin 20.01" sheetId="3" r:id="rId7"/>
    <sheet state="visible" name="Shliff Spring #2 אצל אסף" sheetId="4" r:id="rId8"/>
    <sheet state="visible" name="Shliff Collabo #3" sheetId="5" r:id="rId9"/>
    <sheet state="visible" name="שליף בצרה 08.08" sheetId="6" r:id="rId10"/>
    <sheet state="visible" name="Shliff Deco 24" sheetId="7" r:id="rId11"/>
    <sheet state="visible" name="Winter Rave #2" sheetId="8" r:id="rId12"/>
  </sheets>
  <definedNames/>
  <calcPr/>
</workbook>
</file>

<file path=xl/sharedStrings.xml><?xml version="1.0" encoding="utf-8"?>
<sst xmlns="http://schemas.openxmlformats.org/spreadsheetml/2006/main" count="281" uniqueCount="180">
  <si>
    <t>הוצאות</t>
  </si>
  <si>
    <t>צפי הכנסות - הפרדס של אסף</t>
  </si>
  <si>
    <t>תאריך</t>
  </si>
  <si>
    <t>צפי הכנסות - גגרין</t>
  </si>
  <si>
    <t>הוצאה</t>
  </si>
  <si>
    <t>הכנסה</t>
  </si>
  <si>
    <t>פירוט</t>
  </si>
  <si>
    <t>הכנסות בפועל</t>
  </si>
  <si>
    <t>הכנסות</t>
  </si>
  <si>
    <t>סוג כרטיס</t>
  </si>
  <si>
    <t>כמות כרטיס</t>
  </si>
  <si>
    <t>מחיר כרטיס</t>
  </si>
  <si>
    <t>סה"כ</t>
  </si>
  <si>
    <t>סכום</t>
  </si>
  <si>
    <t>כמות</t>
  </si>
  <si>
    <t>תיאור</t>
  </si>
  <si>
    <t>סבב א</t>
  </si>
  <si>
    <t>מחיר</t>
  </si>
  <si>
    <t>קופת קאמפ שנת 23׳</t>
  </si>
  <si>
    <t>סה״כ</t>
  </si>
  <si>
    <t>מקור</t>
  </si>
  <si>
    <t>גזיבו</t>
  </si>
  <si>
    <t>אצל מי</t>
  </si>
  <si>
    <t>מכולה נובמבר</t>
  </si>
  <si>
    <t>סבב ב</t>
  </si>
  <si>
    <t>סבב א׳</t>
  </si>
  <si>
    <t>גנרטור</t>
  </si>
  <si>
    <t>סבב ג</t>
  </si>
  <si>
    <t>הגברה</t>
  </si>
  <si>
    <t>כובעים + פאצ'ים</t>
  </si>
  <si>
    <t>דלק גנרטור</t>
  </si>
  <si>
    <t>מדבקות</t>
  </si>
  <si>
    <t xml:space="preserve">סופי הכנסות </t>
  </si>
  <si>
    <t>כרטיסים</t>
  </si>
  <si>
    <t>כוסות ביט</t>
  </si>
  <si>
    <t>פלטה</t>
  </si>
  <si>
    <t>כוסות מזומן</t>
  </si>
  <si>
    <t>מכולה דצמבר</t>
  </si>
  <si>
    <t>אחרי עמלת אתר</t>
  </si>
  <si>
    <t>מכולה ינואר</t>
  </si>
  <si>
    <t>עמלות משיכה ובנק אופק</t>
  </si>
  <si>
    <t>שכירות מכולה היא פברואר</t>
  </si>
  <si>
    <t>שכירות מכולה מרץ</t>
  </si>
  <si>
    <t>עמלת משיכה</t>
  </si>
  <si>
    <t>שכירות מכולה אפריל</t>
  </si>
  <si>
    <t>01/052024</t>
  </si>
  <si>
    <t>שכירות מכולה מאי</t>
  </si>
  <si>
    <t>צפי הוצאות - הפרדס של אסף</t>
  </si>
  <si>
    <t>קטגוריה</t>
  </si>
  <si>
    <t>איבנטבאז</t>
  </si>
  <si>
    <t>מסיבה של עומרי נקודה</t>
  </si>
  <si>
    <t>מוסיקה</t>
  </si>
  <si>
    <t>הוצאות ארט דיקו</t>
  </si>
  <si>
    <t xml:space="preserve">הגברה + פלטה </t>
  </si>
  <si>
    <t>ליינאפ</t>
  </si>
  <si>
    <t>החזר ארט</t>
  </si>
  <si>
    <t>תפאורה</t>
  </si>
  <si>
    <t>סבב ב׳</t>
  </si>
  <si>
    <t>מכולה יוני</t>
  </si>
  <si>
    <t>רפואה</t>
  </si>
  <si>
    <t>מכולה יולי</t>
  </si>
  <si>
    <t>לוגיסטיקה</t>
  </si>
  <si>
    <t>קרח</t>
  </si>
  <si>
    <t>ביט 1</t>
  </si>
  <si>
    <t>מחסן חדש תשלום שנתי</t>
  </si>
  <si>
    <t>צמידים</t>
  </si>
  <si>
    <t>אופק</t>
  </si>
  <si>
    <t>לוקיישן</t>
  </si>
  <si>
    <t>הובלה ציוד למחסן חדש</t>
  </si>
  <si>
    <t>סבב ג׳</t>
  </si>
  <si>
    <t>צלם</t>
  </si>
  <si>
    <t>ביט 2</t>
  </si>
  <si>
    <t>רווח נקי מסיבה 08.08/24</t>
  </si>
  <si>
    <t>גיא</t>
  </si>
  <si>
    <t>סבב ד'</t>
  </si>
  <si>
    <t>ארוניות ברזל למחסן + אירועים</t>
  </si>
  <si>
    <t>עמלות</t>
  </si>
  <si>
    <t>כללי</t>
  </si>
  <si>
    <t>דיקוסאמר</t>
  </si>
  <si>
    <t>קורס מיפוי והקרנה</t>
  </si>
  <si>
    <t>סבב ה'</t>
  </si>
  <si>
    <t xml:space="preserve">שיימאן </t>
  </si>
  <si>
    <t>עלי אקס קלוז פרינדס</t>
  </si>
  <si>
    <t>רווח נקי קלוז פרינדס</t>
  </si>
  <si>
    <t>נגרר זיכוי להמשך Rentagrar</t>
  </si>
  <si>
    <t>מסיבת חורשה</t>
  </si>
  <si>
    <t>אחרי עמלה</t>
  </si>
  <si>
    <t>שיכפול מפתחות מחסן</t>
  </si>
  <si>
    <t>דלק מחסן אופק</t>
  </si>
  <si>
    <t>אבטחה</t>
  </si>
  <si>
    <t>פלטה נוספת</t>
  </si>
  <si>
    <t>מלון לורן</t>
  </si>
  <si>
    <t>רייזינג דאסט</t>
  </si>
  <si>
    <t>איתן זיו</t>
  </si>
  <si>
    <t>שתייה אוכל לורן</t>
  </si>
  <si>
    <t>לורן + מלון</t>
  </si>
  <si>
    <t>אליוט</t>
  </si>
  <si>
    <t>עומרי דוט</t>
  </si>
  <si>
    <t>הקרנות</t>
  </si>
  <si>
    <t>גיפטינג</t>
  </si>
  <si>
    <t>לייזרים</t>
  </si>
  <si>
    <t>ליאור תורג'מן</t>
  </si>
  <si>
    <t>גומי+סוכריות+מסטיקים</t>
  </si>
  <si>
    <t>ציוד מתכלה לתפאורה</t>
  </si>
  <si>
    <t>עמית בד</t>
  </si>
  <si>
    <t>שעון + שיט ללורן</t>
  </si>
  <si>
    <t>פיצה הקמות</t>
  </si>
  <si>
    <t>תפאורה תשלום 1</t>
  </si>
  <si>
    <t>פינוקים לורן</t>
  </si>
  <si>
    <t>מיכל</t>
  </si>
  <si>
    <t>הקלטות</t>
  </si>
  <si>
    <t>אלפר</t>
  </si>
  <si>
    <t>שישיות מים</t>
  </si>
  <si>
    <t>עדי</t>
  </si>
  <si>
    <t>יצורים</t>
  </si>
  <si>
    <t>רן</t>
  </si>
  <si>
    <t>מרגו</t>
  </si>
  <si>
    <t>צפי הכנסות - קולאבו</t>
  </si>
  <si>
    <t>550 כרטיס</t>
  </si>
  <si>
    <t>צפי הוצאות - קולאבו</t>
  </si>
  <si>
    <t>Junkyard bazra</t>
  </si>
  <si>
    <t>תוספות סאונד</t>
  </si>
  <si>
    <t>תאורה - שלו</t>
  </si>
  <si>
    <t>השלמות לדים</t>
  </si>
  <si>
    <t>תפאורה עומרי</t>
  </si>
  <si>
    <t>הנפשת פוסטר</t>
  </si>
  <si>
    <t>תוכן</t>
  </si>
  <si>
    <t>הגברה + פלטה + תאורה</t>
  </si>
  <si>
    <t>החזר דלק אופק</t>
  </si>
  <si>
    <t>החזר שתייה לאיתן רייטר - אלפר</t>
  </si>
  <si>
    <t xml:space="preserve">אמבולנס </t>
  </si>
  <si>
    <t>שתייה קאמפ</t>
  </si>
  <si>
    <t>קופונים לקאמפים</t>
  </si>
  <si>
    <t>ניקיון</t>
  </si>
  <si>
    <t>אבטחה - 1 ל100</t>
  </si>
  <si>
    <t>פרס מנצחי מכירות</t>
  </si>
  <si>
    <t>ביטחון</t>
  </si>
  <si>
    <t>שירותים כיימיים/נסורת</t>
  </si>
  <si>
    <t>רווחים נטו - פירוט</t>
  </si>
  <si>
    <t>סדרני חנייה + שריף</t>
  </si>
  <si>
    <t>כרטיסים אתר</t>
  </si>
  <si>
    <t>תפאורה רחבה</t>
  </si>
  <si>
    <t>כרטיסים מזומן</t>
  </si>
  <si>
    <t>ארט</t>
  </si>
  <si>
    <t>כרטיסים ביט</t>
  </si>
  <si>
    <t>בר קולאבו</t>
  </si>
  <si>
    <t>תפאורה עמדה</t>
  </si>
  <si>
    <t>צילייה + טפטפות</t>
  </si>
  <si>
    <t>אירוח אומנים</t>
  </si>
  <si>
    <t>רווח סופי נטו</t>
  </si>
  <si>
    <t>הכנסות - אתר</t>
  </si>
  <si>
    <t>הכנסות - ביט/מזומן</t>
  </si>
  <si>
    <t>פרס תחרות</t>
  </si>
  <si>
    <t>נטו</t>
  </si>
  <si>
    <t xml:space="preserve">הוצאות </t>
  </si>
  <si>
    <t>דקל</t>
  </si>
  <si>
    <t>-</t>
  </si>
  <si>
    <t>פלטה + נגרר+</t>
  </si>
  <si>
    <t>לייזרים +עשן</t>
  </si>
  <si>
    <t>מייצג</t>
  </si>
  <si>
    <t>ברזל</t>
  </si>
  <si>
    <t>?</t>
  </si>
  <si>
    <t>לדים</t>
  </si>
  <si>
    <t>חומרים נוספים</t>
  </si>
  <si>
    <t>קוביות של עדי</t>
  </si>
  <si>
    <t>טפט</t>
  </si>
  <si>
    <t>דבק</t>
  </si>
  <si>
    <t>וכו׳</t>
  </si>
  <si>
    <t>צפי הכנסות - פאנורמה</t>
  </si>
  <si>
    <t>צפי הוצאות - פנורמה</t>
  </si>
  <si>
    <t>שכירות מקום</t>
  </si>
  <si>
    <t>צוות תיפעול</t>
  </si>
  <si>
    <t>מתאם לבה</t>
  </si>
  <si>
    <t>דלק שיימאן</t>
  </si>
  <si>
    <t>צלם רגיל</t>
  </si>
  <si>
    <t>קומפקט נוסף</t>
  </si>
  <si>
    <t>תקציב לפני בלת״מים</t>
  </si>
  <si>
    <t>תקציב הפתעות</t>
  </si>
  <si>
    <t>סופי</t>
  </si>
  <si>
    <t>רווח נטו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</si>
</sst>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₪-40D]#,##0.00"/>
    <numFmt numFmtId="166" formatCode="d/m/yyyy"/>
    <numFmt numFmtId="167" formatCode="dd/mm/yy"/>
    <numFmt numFmtId="168" formatCode="&quot;₪&quot;#,##0.00"/>
    <numFmt numFmtId="169" formatCode="dd/mm"/>
    <numFmt numFmtId="170" formatCode="_-[$₪-40D]* #,##0.00_-;_-[$₪-40D]* \-#,##0.00_-;_-[$₪-40D]* &quot;-&quot;??_-;_-@"/>
    <numFmt numFmtId="171" formatCode="d/m/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rgb="FFD9D2E9"/>
      <name val="Arial"/>
      <scheme val="minor"/>
    </font>
    <font>
      <sz val="9.0"/>
      <color theme="1"/>
      <name val="Arial"/>
      <scheme val="minor"/>
    </font>
    <font>
      <color rgb="FFFF00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990000"/>
        <bgColor rgb="FF990000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274E13"/>
        <bgColor rgb="FF274E1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2" fontId="2" numFmtId="165" xfId="0" applyAlignment="1" applyFill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0" fillId="0" fontId="3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3" fontId="2" numFmtId="0" xfId="0" applyAlignment="1" applyFill="1" applyFont="1">
      <alignment horizontal="center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 shrinkToFit="0" vertical="center" wrapText="1"/>
    </xf>
    <xf borderId="0" fillId="4" fontId="2" numFmtId="165" xfId="0" applyFill="1" applyFont="1" applyNumberFormat="1"/>
    <xf borderId="0" fillId="0" fontId="2" numFmtId="168" xfId="0" applyAlignment="1" applyFont="1" applyNumberFormat="1">
      <alignment readingOrder="0"/>
    </xf>
    <xf borderId="0" fillId="2" fontId="2" numFmtId="165" xfId="0" applyAlignment="1" applyFill="1" applyFont="1" applyNumberFormat="1">
      <alignment horizontal="center"/>
    </xf>
    <xf borderId="0" fillId="0" fontId="2" numFmtId="169" xfId="0" applyAlignment="1" applyFont="1" applyNumberFormat="1">
      <alignment horizontal="center" readingOrder="0" shrinkToFit="0" vertical="center" wrapText="1"/>
    </xf>
    <xf borderId="0" fillId="5" fontId="2" numFmtId="170" xfId="0" applyAlignment="1" applyFill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2" fontId="2" numFmtId="170" xfId="0" applyAlignment="1" applyFill="1" applyFont="1" applyNumberFormat="1">
      <alignment horizontal="center" readingOrder="0" shrinkToFit="0" vertical="center" wrapText="1"/>
    </xf>
    <xf borderId="0" fillId="6" fontId="2" numFmtId="170" xfId="0" applyAlignment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4" fontId="2" numFmtId="168" xfId="0" applyAlignment="1" applyFill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171" xfId="0" applyAlignment="1" applyFont="1" applyNumberFormat="1">
      <alignment horizontal="center" readingOrder="0" shrinkToFit="0" vertical="center" wrapText="1"/>
    </xf>
    <xf borderId="1" fillId="0" fontId="1" numFmtId="3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7" fontId="2" numFmtId="165" xfId="0" applyAlignment="1" applyFill="1" applyFont="1" applyNumberFormat="1">
      <alignment horizontal="center" readingOrder="0"/>
    </xf>
    <xf borderId="0" fillId="8" fontId="4" numFmtId="0" xfId="0" applyFill="1" applyFont="1"/>
    <xf borderId="0" fillId="9" fontId="1" numFmtId="0" xfId="0" applyAlignment="1" applyFill="1" applyFont="1">
      <alignment horizontal="center" readingOrder="0"/>
    </xf>
    <xf borderId="0" fillId="9" fontId="2" numFmtId="3" xfId="0" applyAlignment="1" applyFill="1" applyFont="1" applyNumberFormat="1">
      <alignment horizontal="center" readingOrder="0"/>
    </xf>
    <xf borderId="0" fillId="4" fontId="1" numFmtId="3" xfId="0" applyAlignment="1" applyFill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2" fontId="2" numFmtId="3" xfId="0" applyAlignment="1" applyFill="1" applyFont="1" applyNumberFormat="1">
      <alignment horizontal="center"/>
    </xf>
    <xf borderId="0" fillId="6" fontId="2" numFmtId="3" xfId="0" applyAlignment="1" applyFill="1" applyFont="1" applyNumberFormat="1">
      <alignment horizontal="center"/>
    </xf>
    <xf borderId="0" fillId="10" fontId="2" numFmtId="165" xfId="0" applyAlignment="1" applyFill="1" applyFont="1" applyNumberFormat="1">
      <alignment horizontal="center" readingOrder="0" shrinkToFit="0" vertical="center" wrapText="1"/>
    </xf>
    <xf borderId="0" fillId="10" fontId="2" numFmtId="165" xfId="0" applyAlignment="1" applyFill="1" applyFont="1" applyNumberFormat="1">
      <alignment horizontal="center" readingOrder="0"/>
    </xf>
    <xf borderId="0" fillId="10" fontId="2" numFmtId="3" xfId="0" applyAlignment="1" applyFill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5" numFmtId="3" xfId="0" applyAlignment="1" applyFont="1" applyNumberFormat="1">
      <alignment horizontal="center" readingOrder="0"/>
    </xf>
    <xf borderId="0" fillId="11" fontId="2" numFmtId="165" xfId="0" applyAlignment="1" applyFill="1" applyFont="1" applyNumberFormat="1">
      <alignment horizontal="center"/>
    </xf>
    <xf borderId="0" fillId="0" fontId="2" numFmtId="9" xfId="0" applyAlignment="1" applyFont="1" applyNumberFormat="1">
      <alignment horizontal="center" readingOrder="0" shrinkToFit="0" vertical="center" wrapText="1"/>
    </xf>
    <xf borderId="0" fillId="8" fontId="6" numFmtId="165" xfId="0" applyFill="1" applyFont="1" applyNumberForma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6.0"/>
    <col customWidth="1" min="3" max="3" width="25.63"/>
    <col customWidth="1" min="4" max="5" width="25.5"/>
    <col customWidth="1" min="6" max="6" width="25.75"/>
    <col customWidth="1" min="7" max="7" width="25.5"/>
    <col customWidth="1" min="8" max="9" width="25.63"/>
    <col customWidth="1" min="10" max="10" width="25.5"/>
    <col customWidth="1" min="11" max="11" width="25.63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2"/>
      <c r="F1" s="4"/>
      <c r="I1" s="3"/>
      <c r="J1" s="3"/>
      <c r="K1" s="3"/>
      <c r="Q1" s="3"/>
      <c r="R1" s="3"/>
      <c r="S1" s="6"/>
      <c r="T1" s="5"/>
      <c r="U1" s="7"/>
      <c r="V1" s="3"/>
      <c r="W1" s="3"/>
      <c r="X1" s="3"/>
      <c r="Y1" s="7"/>
      <c r="Z1" s="3"/>
    </row>
    <row r="2">
      <c r="A2" s="8">
        <v>45231.0</v>
      </c>
      <c r="B2" s="5"/>
      <c r="C2" s="6">
        <v>30400.0</v>
      </c>
      <c r="D2" s="9" t="s">
        <v>18</v>
      </c>
      <c r="E2" s="10"/>
      <c r="F2" s="3"/>
      <c r="G2" s="7"/>
      <c r="H2" s="3"/>
      <c r="I2" s="7"/>
      <c r="J2" s="3"/>
      <c r="K2" s="7"/>
      <c r="Q2" s="5"/>
      <c r="R2" s="3"/>
      <c r="S2" s="5"/>
      <c r="T2" s="5"/>
      <c r="U2" s="7"/>
      <c r="V2" s="3"/>
      <c r="W2" s="3"/>
      <c r="X2" s="3"/>
      <c r="Y2" s="6"/>
      <c r="Z2" s="3"/>
    </row>
    <row r="3">
      <c r="A3" s="8">
        <v>45231.0</v>
      </c>
      <c r="B3" s="9">
        <v>-1170.0</v>
      </c>
      <c r="C3" s="5"/>
      <c r="D3" s="9" t="s">
        <v>23</v>
      </c>
      <c r="E3" s="10"/>
      <c r="F3" s="12"/>
      <c r="G3" s="7"/>
      <c r="H3" s="7"/>
      <c r="I3" s="9"/>
      <c r="J3" s="3"/>
      <c r="K3" s="6"/>
      <c r="Q3" s="5"/>
      <c r="R3" s="3"/>
      <c r="S3" s="6"/>
      <c r="T3" s="3"/>
      <c r="U3" s="3"/>
      <c r="V3" s="3"/>
      <c r="W3" s="3"/>
      <c r="X3" s="3"/>
      <c r="Y3" s="6"/>
      <c r="Z3" s="3"/>
    </row>
    <row r="4">
      <c r="A4" s="14">
        <v>45231.0</v>
      </c>
      <c r="B4" s="13">
        <v>-488.0</v>
      </c>
      <c r="C4" s="15"/>
      <c r="D4" s="2" t="s">
        <v>29</v>
      </c>
      <c r="E4" s="2"/>
      <c r="F4" s="12"/>
      <c r="G4" s="3"/>
      <c r="H4" s="3"/>
      <c r="I4" s="5"/>
      <c r="J4" s="5"/>
      <c r="K4" s="5"/>
      <c r="Q4" s="5"/>
      <c r="R4" s="3"/>
      <c r="S4" s="6"/>
      <c r="T4" s="9"/>
      <c r="U4" s="3"/>
      <c r="V4" s="3"/>
      <c r="W4" s="3"/>
      <c r="X4" s="3"/>
      <c r="Y4" s="6"/>
      <c r="Z4" s="3"/>
    </row>
    <row r="5">
      <c r="A5" s="14">
        <v>45231.0</v>
      </c>
      <c r="B5" s="15">
        <v>-153.0</v>
      </c>
      <c r="C5" s="10"/>
      <c r="D5" s="2" t="s">
        <v>31</v>
      </c>
      <c r="E5" s="2"/>
      <c r="F5" s="3"/>
      <c r="G5" s="3"/>
      <c r="H5" s="5"/>
      <c r="I5" s="5"/>
      <c r="J5" s="5"/>
      <c r="K5" s="5"/>
      <c r="Q5" s="5"/>
      <c r="R5" s="3"/>
      <c r="S5" s="9"/>
      <c r="T5" s="9"/>
      <c r="U5" s="9"/>
      <c r="V5" s="3"/>
      <c r="W5" s="3"/>
      <c r="X5" s="3"/>
      <c r="Y5" s="5"/>
      <c r="Z5" s="5"/>
    </row>
    <row r="6">
      <c r="A6" s="14">
        <v>45261.0</v>
      </c>
      <c r="B6" s="15">
        <v>-1170.0</v>
      </c>
      <c r="C6" s="19"/>
      <c r="D6" s="13" t="s">
        <v>37</v>
      </c>
      <c r="E6" s="15"/>
      <c r="F6" s="20"/>
      <c r="G6" s="6"/>
      <c r="H6" s="5"/>
      <c r="I6" s="5"/>
      <c r="J6" s="5"/>
      <c r="K6" s="5"/>
      <c r="Q6" s="5"/>
      <c r="R6" s="5"/>
      <c r="S6" s="6"/>
      <c r="T6" s="9"/>
      <c r="U6" s="9"/>
      <c r="V6" s="9"/>
      <c r="W6" s="3"/>
      <c r="X6" s="3"/>
      <c r="Y6" s="5"/>
      <c r="Z6" s="5"/>
    </row>
    <row r="7">
      <c r="A7" s="14">
        <v>45292.0</v>
      </c>
      <c r="B7" s="15">
        <v>-1170.0</v>
      </c>
      <c r="C7" s="13"/>
      <c r="D7" s="13" t="s">
        <v>39</v>
      </c>
      <c r="E7" s="15"/>
      <c r="F7" s="3"/>
      <c r="G7" s="5"/>
      <c r="H7" s="5"/>
      <c r="I7" s="5"/>
      <c r="J7" s="5"/>
      <c r="K7" s="5"/>
      <c r="Q7" s="5"/>
      <c r="R7" s="3"/>
      <c r="S7" s="6"/>
      <c r="T7" s="9"/>
      <c r="U7" s="9"/>
      <c r="V7" s="3"/>
      <c r="W7" s="6"/>
      <c r="X7" s="3"/>
      <c r="Y7" s="6"/>
      <c r="Z7" s="3"/>
    </row>
    <row r="8">
      <c r="A8" s="14">
        <v>45292.0</v>
      </c>
      <c r="B8" s="13">
        <v>-249.0</v>
      </c>
      <c r="C8" s="19"/>
      <c r="D8" s="13" t="s">
        <v>40</v>
      </c>
      <c r="E8" s="15"/>
      <c r="F8" s="20"/>
      <c r="G8" s="5"/>
      <c r="H8" s="5"/>
      <c r="I8" s="5"/>
      <c r="J8" s="5"/>
      <c r="K8" s="5"/>
      <c r="Q8" s="5"/>
      <c r="R8" s="5"/>
      <c r="S8" s="6"/>
      <c r="T8" s="9"/>
      <c r="U8" s="9"/>
      <c r="V8" s="3"/>
      <c r="W8" s="9"/>
      <c r="X8" s="3"/>
      <c r="Y8" s="5"/>
      <c r="Z8" s="5"/>
    </row>
    <row r="9">
      <c r="A9" s="14">
        <v>45323.0</v>
      </c>
      <c r="B9" s="15">
        <v>-1170.0</v>
      </c>
      <c r="C9" s="19"/>
      <c r="D9" s="13" t="s">
        <v>41</v>
      </c>
      <c r="E9" s="15"/>
      <c r="F9" s="5"/>
      <c r="G9" s="7"/>
      <c r="H9" s="3"/>
      <c r="I9" s="3"/>
      <c r="J9" s="3"/>
      <c r="K9" s="7"/>
      <c r="Q9" s="3"/>
      <c r="S9" s="9"/>
      <c r="T9" s="3"/>
      <c r="U9" s="3"/>
      <c r="V9" s="3"/>
      <c r="W9" s="3"/>
      <c r="X9" s="3"/>
      <c r="Y9" s="3"/>
      <c r="Z9" s="5"/>
    </row>
    <row r="10">
      <c r="A10" s="14">
        <v>45352.0</v>
      </c>
      <c r="B10" s="15">
        <v>-1170.0</v>
      </c>
      <c r="C10" s="15"/>
      <c r="D10" s="13" t="s">
        <v>42</v>
      </c>
      <c r="E10" s="19"/>
      <c r="F10" s="5"/>
      <c r="G10" s="7"/>
      <c r="H10" s="3"/>
      <c r="I10" s="3"/>
      <c r="J10" s="3"/>
      <c r="K10" s="6"/>
      <c r="Q10" s="3"/>
      <c r="S10" s="5"/>
      <c r="T10" s="5"/>
      <c r="U10" s="9"/>
      <c r="V10" s="6"/>
      <c r="W10" s="6"/>
      <c r="X10" s="9"/>
      <c r="Y10" s="9"/>
      <c r="Z10" s="3"/>
    </row>
    <row r="11">
      <c r="A11" s="14">
        <v>45352.0</v>
      </c>
      <c r="B11" s="15">
        <v>-10.0</v>
      </c>
      <c r="C11" s="15"/>
      <c r="D11" s="13" t="s">
        <v>43</v>
      </c>
      <c r="E11" s="15"/>
      <c r="F11" s="3"/>
      <c r="G11" s="3"/>
      <c r="H11" s="3"/>
      <c r="I11" s="3"/>
      <c r="J11" s="3"/>
      <c r="K11" s="6"/>
      <c r="Q11" s="5"/>
      <c r="R11" s="3"/>
      <c r="S11" s="9"/>
      <c r="T11" s="5"/>
      <c r="U11" s="5"/>
      <c r="V11" s="6"/>
      <c r="W11" s="6"/>
      <c r="X11" s="3"/>
      <c r="Y11" s="6"/>
      <c r="Z11" s="3"/>
    </row>
    <row r="12">
      <c r="A12" s="14">
        <v>45383.0</v>
      </c>
      <c r="B12" s="15">
        <v>-1170.0</v>
      </c>
      <c r="C12" s="19"/>
      <c r="D12" s="13" t="s">
        <v>44</v>
      </c>
      <c r="E12" s="19"/>
      <c r="Q12" s="5"/>
      <c r="S12" s="22"/>
      <c r="T12" s="5"/>
      <c r="U12" s="6"/>
      <c r="V12" s="5"/>
      <c r="W12" s="9"/>
      <c r="X12" s="6"/>
      <c r="Y12" s="6"/>
      <c r="Z12" s="3"/>
    </row>
    <row r="13">
      <c r="A13" s="14" t="s">
        <v>45</v>
      </c>
      <c r="B13" s="15">
        <v>-1170.0</v>
      </c>
      <c r="C13" s="10"/>
      <c r="D13" s="13" t="s">
        <v>46</v>
      </c>
      <c r="E13" s="10"/>
      <c r="F13" s="3"/>
      <c r="G13" s="7"/>
      <c r="H13" s="3"/>
      <c r="I13" s="7"/>
      <c r="J13" s="3"/>
      <c r="K13" s="7"/>
      <c r="Q13" s="17"/>
      <c r="R13" s="7"/>
      <c r="S13" s="6"/>
      <c r="T13" s="5"/>
      <c r="U13" s="9"/>
      <c r="V13" s="9"/>
      <c r="W13" s="6"/>
      <c r="X13" s="6"/>
      <c r="Y13" s="9"/>
      <c r="Z13" s="3"/>
    </row>
    <row r="14">
      <c r="A14" s="14">
        <v>45413.0</v>
      </c>
      <c r="B14" s="13"/>
      <c r="C14" s="15">
        <v>3800.0</v>
      </c>
      <c r="D14" s="13" t="s">
        <v>50</v>
      </c>
      <c r="E14" s="15"/>
      <c r="F14" s="9"/>
      <c r="G14" s="9"/>
      <c r="H14" s="9"/>
      <c r="I14" s="3"/>
      <c r="J14" s="3"/>
      <c r="K14" s="5"/>
    </row>
    <row r="15">
      <c r="A15" s="14">
        <v>45413.0</v>
      </c>
      <c r="B15" s="13">
        <v>-2370.0</v>
      </c>
      <c r="C15" s="13"/>
      <c r="D15" s="13" t="s">
        <v>52</v>
      </c>
      <c r="E15" s="15"/>
      <c r="F15" s="9"/>
      <c r="G15" s="9"/>
      <c r="H15" s="3"/>
      <c r="I15" s="6"/>
      <c r="J15" s="3"/>
      <c r="K15" s="6"/>
      <c r="R15" s="3"/>
      <c r="S15" s="6"/>
      <c r="X15" s="3"/>
      <c r="Y15" s="9"/>
      <c r="Z15" s="26"/>
    </row>
    <row r="16">
      <c r="A16" s="14">
        <v>45413.0</v>
      </c>
      <c r="B16" s="13"/>
      <c r="C16" s="15">
        <v>1034.0</v>
      </c>
      <c r="D16" s="13" t="s">
        <v>55</v>
      </c>
      <c r="E16" s="15"/>
      <c r="F16" s="3"/>
      <c r="G16" s="3"/>
      <c r="H16" s="3"/>
      <c r="I16" s="3"/>
      <c r="J16" s="3"/>
      <c r="K16" s="6"/>
      <c r="X16" s="3"/>
      <c r="Y16" s="9"/>
      <c r="Z16" s="5"/>
    </row>
    <row r="17">
      <c r="A17" s="14">
        <v>45444.0</v>
      </c>
      <c r="B17" s="15">
        <v>-1170.0</v>
      </c>
      <c r="C17" s="13"/>
      <c r="D17" s="13" t="s">
        <v>58</v>
      </c>
      <c r="E17" s="2"/>
      <c r="F17" s="3"/>
      <c r="G17" s="3"/>
      <c r="H17" s="3"/>
      <c r="I17" s="3"/>
      <c r="J17" s="5"/>
      <c r="X17" s="3"/>
      <c r="Y17" s="9"/>
      <c r="Z17" s="5"/>
    </row>
    <row r="18">
      <c r="A18" s="14">
        <v>45474.0</v>
      </c>
      <c r="B18" s="15">
        <v>-1170.0</v>
      </c>
      <c r="C18" s="19"/>
      <c r="D18" s="13" t="s">
        <v>60</v>
      </c>
      <c r="E18" s="13"/>
      <c r="F18" s="6"/>
      <c r="G18" s="6"/>
      <c r="H18" s="9"/>
      <c r="I18" s="9"/>
      <c r="J18" s="3"/>
      <c r="X18" s="5"/>
      <c r="Y18" s="6"/>
      <c r="Z18" s="3"/>
    </row>
    <row r="19">
      <c r="A19" s="14">
        <v>45474.0</v>
      </c>
      <c r="B19" s="15">
        <v>-8000.0</v>
      </c>
      <c r="C19" s="13"/>
      <c r="D19" s="13" t="s">
        <v>64</v>
      </c>
      <c r="E19" s="19"/>
      <c r="F19" s="6"/>
      <c r="G19" s="6"/>
      <c r="H19" s="3"/>
      <c r="I19" s="6"/>
      <c r="J19" s="3"/>
      <c r="U19" s="5"/>
      <c r="V19" s="5"/>
      <c r="Y19" s="6"/>
      <c r="Z19" s="3"/>
    </row>
    <row r="20">
      <c r="A20" s="14">
        <v>45505.0</v>
      </c>
      <c r="B20" s="15">
        <v>-2200.0</v>
      </c>
      <c r="C20" s="15"/>
      <c r="D20" s="13" t="s">
        <v>68</v>
      </c>
      <c r="E20" s="15"/>
      <c r="F20" s="5"/>
      <c r="G20" s="9"/>
      <c r="H20" s="6"/>
      <c r="I20" s="6"/>
      <c r="J20" s="3"/>
      <c r="U20" s="5"/>
      <c r="V20" s="5"/>
      <c r="W20" s="17"/>
      <c r="X20" s="17"/>
      <c r="Y20" s="6"/>
      <c r="Z20" s="26"/>
    </row>
    <row r="21">
      <c r="A21" s="14">
        <v>45512.0</v>
      </c>
      <c r="B21" s="13"/>
      <c r="C21" s="15">
        <v>34469.0</v>
      </c>
      <c r="D21" s="13" t="s">
        <v>72</v>
      </c>
      <c r="E21" s="13"/>
      <c r="F21" s="9"/>
      <c r="G21" s="6"/>
      <c r="H21" s="6"/>
      <c r="I21" s="9"/>
      <c r="J21" s="3"/>
      <c r="U21" s="5"/>
      <c r="V21" s="5"/>
      <c r="W21" s="3"/>
      <c r="X21" s="3"/>
      <c r="Y21" s="9"/>
      <c r="Z21" s="26"/>
    </row>
    <row r="22">
      <c r="A22" s="28"/>
      <c r="B22" s="9">
        <v>-1100.0</v>
      </c>
      <c r="C22" s="5"/>
      <c r="D22" s="9" t="s">
        <v>75</v>
      </c>
      <c r="E22" s="19"/>
      <c r="U22" s="5"/>
      <c r="V22" s="5"/>
      <c r="W22" s="5"/>
      <c r="X22" s="5"/>
      <c r="Y22" s="6"/>
      <c r="Z22" s="3"/>
    </row>
    <row r="23">
      <c r="A23" s="14"/>
      <c r="B23" s="13">
        <v>-100.0</v>
      </c>
      <c r="C23" s="15"/>
      <c r="D23" s="13" t="s">
        <v>76</v>
      </c>
      <c r="E23" s="19"/>
      <c r="H23" s="3"/>
      <c r="I23" s="9"/>
      <c r="J23" s="26"/>
      <c r="U23" s="5"/>
      <c r="V23" s="5"/>
      <c r="W23" s="5"/>
      <c r="X23" s="5"/>
      <c r="Y23" s="6"/>
      <c r="Z23" s="3"/>
    </row>
    <row r="24">
      <c r="A24" s="14">
        <v>45560.0</v>
      </c>
      <c r="B24" s="15">
        <v>-9435.0</v>
      </c>
      <c r="C24" s="19"/>
      <c r="D24" s="13" t="s">
        <v>78</v>
      </c>
      <c r="E24" s="19"/>
      <c r="U24" s="5"/>
      <c r="V24" s="5"/>
      <c r="W24" s="5"/>
      <c r="X24" s="5"/>
      <c r="Y24" s="22"/>
      <c r="Z24" s="17"/>
    </row>
    <row r="25">
      <c r="A25" s="14">
        <v>45671.0</v>
      </c>
      <c r="B25" s="13">
        <v>-260.0</v>
      </c>
      <c r="C25" s="19"/>
      <c r="D25" s="13" t="s">
        <v>79</v>
      </c>
      <c r="E25" s="19"/>
      <c r="U25" s="5"/>
      <c r="V25" s="5"/>
      <c r="W25" s="5"/>
      <c r="X25" s="5"/>
      <c r="Y25" s="22"/>
      <c r="Z25" s="17"/>
    </row>
    <row r="26">
      <c r="A26" s="14">
        <v>45674.0</v>
      </c>
      <c r="B26" s="13">
        <v>-27.5</v>
      </c>
      <c r="C26" s="13"/>
      <c r="D26" s="13" t="s">
        <v>81</v>
      </c>
      <c r="E26" s="19"/>
      <c r="U26" s="5"/>
      <c r="V26" s="5"/>
      <c r="W26" s="5"/>
      <c r="X26" s="5"/>
      <c r="Y26" s="22"/>
      <c r="Z26" s="17"/>
    </row>
    <row r="27">
      <c r="A27" s="14">
        <v>45687.0</v>
      </c>
      <c r="B27" s="13">
        <f>-93-149-199-140-72</f>
        <v>-653</v>
      </c>
      <c r="C27" s="19"/>
      <c r="D27" s="13" t="s">
        <v>82</v>
      </c>
      <c r="E27" s="19"/>
      <c r="U27" s="5"/>
      <c r="V27" s="5"/>
      <c r="W27" s="5"/>
      <c r="X27" s="5"/>
      <c r="Y27" s="22"/>
      <c r="Z27" s="17"/>
    </row>
    <row r="28">
      <c r="A28" s="8">
        <v>45716.0</v>
      </c>
      <c r="C28" s="6">
        <v>13710.0</v>
      </c>
      <c r="D28" s="9" t="s">
        <v>83</v>
      </c>
      <c r="E28" s="19"/>
      <c r="U28" s="5"/>
      <c r="V28" s="5"/>
      <c r="W28" s="5"/>
      <c r="X28" s="5"/>
      <c r="Y28" s="22"/>
      <c r="Z28" s="17"/>
    </row>
    <row r="29">
      <c r="A29" s="14">
        <v>45731.0</v>
      </c>
      <c r="B29" s="13">
        <v>-860.0</v>
      </c>
      <c r="C29" s="19"/>
      <c r="D29" s="2" t="s">
        <v>84</v>
      </c>
      <c r="E29" s="19"/>
      <c r="U29" s="5"/>
      <c r="V29" s="5"/>
      <c r="W29" s="5"/>
      <c r="X29" s="5"/>
      <c r="Y29" s="22"/>
      <c r="Z29" s="17"/>
    </row>
    <row r="30">
      <c r="A30" s="33"/>
      <c r="B30" s="13">
        <v>-1770.0</v>
      </c>
      <c r="C30" s="19"/>
      <c r="D30" s="2" t="s">
        <v>85</v>
      </c>
      <c r="E30" s="19"/>
      <c r="U30" s="5"/>
      <c r="V30" s="5"/>
      <c r="W30" s="5"/>
      <c r="X30" s="5"/>
      <c r="Y30" s="22"/>
      <c r="Z30" s="17"/>
    </row>
    <row r="31">
      <c r="A31" s="19"/>
      <c r="B31" s="13">
        <v>-250.0</v>
      </c>
      <c r="C31" s="19"/>
      <c r="D31" s="2" t="s">
        <v>40</v>
      </c>
      <c r="E31" s="19"/>
      <c r="U31" s="5"/>
      <c r="V31" s="5"/>
      <c r="W31" s="5"/>
      <c r="X31" s="5"/>
      <c r="Y31" s="22"/>
      <c r="Z31" s="17"/>
    </row>
    <row r="32">
      <c r="A32" s="19"/>
      <c r="B32" s="13">
        <v>-60.0</v>
      </c>
      <c r="C32" s="19"/>
      <c r="D32" s="2" t="s">
        <v>87</v>
      </c>
      <c r="E32" s="19"/>
      <c r="U32" s="5"/>
      <c r="V32" s="5"/>
      <c r="W32" s="5"/>
      <c r="X32" s="5"/>
      <c r="Y32" s="22"/>
      <c r="Z32" s="17"/>
    </row>
    <row r="33">
      <c r="A33" s="19"/>
      <c r="B33" s="13">
        <v>-250.0</v>
      </c>
      <c r="C33" s="19"/>
      <c r="D33" s="2" t="s">
        <v>88</v>
      </c>
      <c r="E33" s="19"/>
      <c r="U33" s="5"/>
      <c r="V33" s="5"/>
      <c r="W33" s="5"/>
      <c r="X33" s="5"/>
      <c r="Y33" s="22"/>
      <c r="Z33" s="17"/>
    </row>
    <row r="34">
      <c r="A34" s="19"/>
      <c r="B34" s="19"/>
      <c r="C34" s="19"/>
      <c r="D34" s="19"/>
      <c r="E34" s="19"/>
      <c r="U34" s="5"/>
      <c r="V34" s="5"/>
      <c r="W34" s="5"/>
      <c r="X34" s="5"/>
      <c r="Y34" s="22"/>
      <c r="Z34" s="17"/>
    </row>
    <row r="35">
      <c r="A35" s="19"/>
      <c r="B35" s="19"/>
      <c r="C35" s="19"/>
      <c r="D35" s="19"/>
      <c r="E35" s="19"/>
      <c r="U35" s="5"/>
      <c r="V35" s="5"/>
      <c r="W35" s="5"/>
      <c r="X35" s="5"/>
      <c r="Y35" s="22"/>
      <c r="Z35" s="17"/>
    </row>
    <row r="36">
      <c r="A36" s="19"/>
      <c r="B36" s="19"/>
      <c r="C36" s="19"/>
      <c r="D36" s="19"/>
      <c r="E36" s="19"/>
      <c r="U36" s="5"/>
      <c r="V36" s="5"/>
      <c r="W36" s="5"/>
      <c r="X36" s="5"/>
      <c r="Y36" s="22"/>
      <c r="Z36" s="17"/>
    </row>
    <row r="37">
      <c r="A37" s="19"/>
      <c r="B37" s="19"/>
      <c r="C37" s="19"/>
      <c r="D37" s="19"/>
      <c r="E37" s="19"/>
      <c r="U37" s="5"/>
      <c r="V37" s="5"/>
      <c r="W37" s="5"/>
      <c r="X37" s="5"/>
      <c r="Y37" s="22"/>
      <c r="Z37" s="17"/>
    </row>
    <row r="38">
      <c r="A38" s="19"/>
      <c r="B38" s="34">
        <f t="shared" ref="B38:C38" si="1">SUM(B2:B37)</f>
        <v>-38765.5</v>
      </c>
      <c r="C38" s="36">
        <f t="shared" si="1"/>
        <v>83413</v>
      </c>
      <c r="D38" s="37">
        <f>SUM(B38:C38)</f>
        <v>44647.5</v>
      </c>
      <c r="E38" s="19"/>
      <c r="Y38" s="22"/>
      <c r="Z38" s="17"/>
    </row>
    <row r="39">
      <c r="A39" s="19"/>
      <c r="B39" s="19"/>
      <c r="C39" s="19"/>
      <c r="D39" s="19"/>
      <c r="E39" s="19"/>
    </row>
    <row r="40">
      <c r="A40" s="19"/>
      <c r="B40" s="19"/>
      <c r="C40" s="19"/>
      <c r="D40" s="19"/>
      <c r="E40" s="19"/>
    </row>
    <row r="41">
      <c r="A41" s="19"/>
      <c r="B41" s="19"/>
      <c r="C41" s="19"/>
      <c r="D41" s="19"/>
      <c r="E41" s="19"/>
    </row>
    <row r="42">
      <c r="A42" s="19"/>
      <c r="B42" s="19"/>
      <c r="C42" s="19"/>
      <c r="D42" s="19"/>
      <c r="E42" s="19"/>
    </row>
    <row r="43">
      <c r="A43" s="19"/>
      <c r="B43" s="19"/>
      <c r="C43" s="19"/>
      <c r="D43" s="19"/>
      <c r="E43" s="19"/>
    </row>
    <row r="44">
      <c r="A44" s="19"/>
      <c r="B44" s="19"/>
      <c r="C44" s="19"/>
      <c r="D44" s="19"/>
      <c r="E44" s="19"/>
    </row>
    <row r="45">
      <c r="A45" s="19"/>
      <c r="B45" s="19"/>
      <c r="C45" s="19"/>
      <c r="D45" s="19"/>
      <c r="E45" s="19"/>
    </row>
    <row r="46">
      <c r="A46" s="19"/>
      <c r="B46" s="19"/>
      <c r="C46" s="19"/>
      <c r="D46" s="19"/>
      <c r="E46" s="19"/>
    </row>
    <row r="47">
      <c r="A47" s="19"/>
      <c r="B47" s="19"/>
      <c r="C47" s="19"/>
      <c r="D47" s="19"/>
      <c r="E47" s="19"/>
    </row>
    <row r="48">
      <c r="A48" s="19"/>
      <c r="B48" s="19"/>
      <c r="C48" s="19"/>
      <c r="D48" s="19"/>
      <c r="E48" s="19"/>
    </row>
    <row r="49">
      <c r="A49" s="19"/>
      <c r="B49" s="19"/>
      <c r="C49" s="19"/>
      <c r="D49" s="19"/>
      <c r="E49" s="19"/>
    </row>
    <row r="50">
      <c r="A50" s="19"/>
      <c r="B50" s="19"/>
      <c r="C50" s="19"/>
      <c r="D50" s="19"/>
      <c r="E50" s="19"/>
    </row>
    <row r="51">
      <c r="A51" s="19"/>
      <c r="B51" s="19"/>
      <c r="C51" s="19"/>
      <c r="D51" s="19"/>
      <c r="E51" s="19"/>
    </row>
  </sheetData>
  <mergeCells count="3">
    <mergeCell ref="F1:H1"/>
    <mergeCell ref="Q9:R9"/>
    <mergeCell ref="Q10:R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3" t="s">
        <v>0</v>
      </c>
      <c r="B1" s="5"/>
      <c r="C1" s="3" t="s">
        <v>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13</v>
      </c>
      <c r="B2" s="3" t="s">
        <v>15</v>
      </c>
      <c r="C2" s="3" t="s">
        <v>13</v>
      </c>
      <c r="D2" s="3" t="s">
        <v>15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>
        <v>370.0</v>
      </c>
      <c r="B3" s="3" t="s">
        <v>21</v>
      </c>
      <c r="C3" s="9">
        <v>0.0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>
        <v>500.0</v>
      </c>
      <c r="B4" s="3" t="s">
        <v>26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>
        <v>650.0</v>
      </c>
      <c r="B5" s="3" t="s">
        <v>28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>
        <v>0.0</v>
      </c>
      <c r="B6" s="3" t="s">
        <v>30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>
        <v>250.0</v>
      </c>
      <c r="B7" s="3" t="s">
        <v>35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3">
        <f>SUM(A3:A7)</f>
        <v>1770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/>
      <c r="B1" s="1" t="s">
        <v>3</v>
      </c>
      <c r="E1" s="1" t="s">
        <v>7</v>
      </c>
      <c r="H1" s="1"/>
      <c r="I1" s="1"/>
      <c r="K1" s="1"/>
      <c r="L1" s="1"/>
      <c r="M1" s="1"/>
      <c r="N1" s="1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6</v>
      </c>
      <c r="B2" s="1" t="s">
        <v>14</v>
      </c>
      <c r="C2" s="1" t="s">
        <v>17</v>
      </c>
      <c r="D2" s="1" t="s">
        <v>19</v>
      </c>
      <c r="E2" s="1" t="s">
        <v>20</v>
      </c>
      <c r="F2" s="1" t="s">
        <v>14</v>
      </c>
      <c r="G2" s="1" t="s">
        <v>22</v>
      </c>
      <c r="H2" s="1"/>
      <c r="I2" s="1"/>
      <c r="K2" s="1"/>
      <c r="L2" s="1"/>
      <c r="M2" s="1"/>
      <c r="N2" s="1"/>
      <c r="T2" s="5"/>
      <c r="U2" s="5"/>
      <c r="V2" s="3"/>
      <c r="W2" s="3"/>
      <c r="X2" s="3"/>
      <c r="Y2" s="3"/>
      <c r="Z2" s="3"/>
      <c r="AA2" s="3"/>
      <c r="AB2" s="3"/>
    </row>
    <row r="3">
      <c r="A3" s="2" t="s">
        <v>25</v>
      </c>
      <c r="B3" s="13">
        <v>100.0</v>
      </c>
      <c r="C3" s="13">
        <v>80.0</v>
      </c>
      <c r="D3" s="24">
        <f t="shared" ref="D3:D7" si="1">B3*C3</f>
        <v>8000</v>
      </c>
      <c r="E3" s="1" t="s">
        <v>49</v>
      </c>
      <c r="F3" s="25">
        <v>84565.0</v>
      </c>
      <c r="G3" s="1" t="s">
        <v>49</v>
      </c>
      <c r="H3" s="1"/>
      <c r="I3" s="1"/>
      <c r="K3" s="1"/>
      <c r="L3" s="1"/>
      <c r="M3" s="1"/>
      <c r="N3" s="1"/>
      <c r="T3" s="5"/>
      <c r="U3" s="5"/>
      <c r="V3" s="3"/>
      <c r="W3" s="3"/>
      <c r="X3" s="3"/>
      <c r="Y3" s="3"/>
      <c r="Z3" s="3"/>
      <c r="AA3" s="3"/>
      <c r="AB3" s="3"/>
    </row>
    <row r="4">
      <c r="A4" s="2" t="s">
        <v>57</v>
      </c>
      <c r="B4" s="13">
        <v>150.0</v>
      </c>
      <c r="C4" s="13">
        <v>95.0</v>
      </c>
      <c r="D4" s="24">
        <f t="shared" si="1"/>
        <v>14250</v>
      </c>
      <c r="E4" s="1" t="s">
        <v>63</v>
      </c>
      <c r="F4" s="27">
        <v>115.0</v>
      </c>
      <c r="G4" s="1" t="s">
        <v>66</v>
      </c>
      <c r="H4" s="1"/>
      <c r="I4" s="1"/>
      <c r="K4" s="1"/>
      <c r="L4" s="1"/>
      <c r="M4" s="1"/>
      <c r="N4" s="1"/>
      <c r="T4" s="5"/>
      <c r="U4" s="5"/>
      <c r="V4" s="3"/>
      <c r="W4" s="3"/>
      <c r="X4" s="3"/>
      <c r="Y4" s="3"/>
      <c r="Z4" s="3"/>
      <c r="AA4" s="3"/>
      <c r="AB4" s="3"/>
    </row>
    <row r="5">
      <c r="A5" s="2" t="s">
        <v>69</v>
      </c>
      <c r="B5" s="13">
        <v>200.0</v>
      </c>
      <c r="C5" s="13">
        <v>110.0</v>
      </c>
      <c r="D5" s="24">
        <f t="shared" si="1"/>
        <v>22000</v>
      </c>
      <c r="E5" s="1" t="s">
        <v>71</v>
      </c>
      <c r="F5" s="25">
        <v>3915.0</v>
      </c>
      <c r="G5" s="1" t="s">
        <v>73</v>
      </c>
      <c r="H5" s="1"/>
      <c r="I5" s="1"/>
      <c r="K5" s="1"/>
      <c r="L5" s="1"/>
      <c r="M5" s="1"/>
      <c r="N5" s="1"/>
      <c r="T5" s="5"/>
      <c r="U5" s="5"/>
      <c r="V5" s="3"/>
      <c r="W5" s="3"/>
      <c r="X5" s="3"/>
      <c r="Y5" s="3"/>
      <c r="Z5" s="3"/>
      <c r="AA5" s="3"/>
      <c r="AB5" s="3"/>
    </row>
    <row r="6">
      <c r="A6" s="3" t="s">
        <v>74</v>
      </c>
      <c r="B6" s="13">
        <v>400.0</v>
      </c>
      <c r="C6" s="13">
        <v>135.0</v>
      </c>
      <c r="D6" s="24">
        <f t="shared" si="1"/>
        <v>54000</v>
      </c>
      <c r="E6" s="1"/>
      <c r="F6" s="29">
        <f>SUM(F3:F5)</f>
        <v>88595</v>
      </c>
      <c r="G6" s="1"/>
      <c r="H6" s="1"/>
      <c r="I6" s="1"/>
      <c r="K6" s="1"/>
      <c r="L6" s="1"/>
      <c r="M6" s="1"/>
      <c r="N6" s="1"/>
      <c r="T6" s="5"/>
      <c r="U6" s="5"/>
      <c r="V6" s="3"/>
      <c r="W6" s="3"/>
      <c r="X6" s="3"/>
      <c r="Y6" s="3"/>
      <c r="Z6" s="3"/>
      <c r="AA6" s="3"/>
      <c r="AB6" s="3"/>
    </row>
    <row r="7">
      <c r="A7" s="2" t="s">
        <v>80</v>
      </c>
      <c r="B7" s="13"/>
      <c r="C7" s="13">
        <v>150.0</v>
      </c>
      <c r="D7" s="24">
        <f t="shared" si="1"/>
        <v>0</v>
      </c>
      <c r="E7" s="1"/>
      <c r="F7" s="1"/>
      <c r="G7" s="1"/>
      <c r="H7" s="19"/>
      <c r="I7" s="19"/>
      <c r="K7" s="1"/>
      <c r="L7" s="1"/>
      <c r="M7" s="1"/>
      <c r="N7" s="1"/>
      <c r="T7" s="5"/>
      <c r="U7" s="5"/>
      <c r="V7" s="3"/>
      <c r="W7" s="3"/>
      <c r="X7" s="3"/>
      <c r="Y7" s="3"/>
      <c r="Z7" s="3"/>
      <c r="AA7" s="3"/>
      <c r="AB7" s="3"/>
    </row>
    <row r="8">
      <c r="A8" s="19"/>
      <c r="B8" s="13">
        <f>SUM(B3:B7)</f>
        <v>850</v>
      </c>
      <c r="C8" s="13">
        <f>SUM(D3:D7)/SUM(B3:B7)</f>
        <v>115.5882353</v>
      </c>
      <c r="D8" s="32">
        <f>SUM(D3:D7)</f>
        <v>98250</v>
      </c>
      <c r="E8" s="1"/>
      <c r="F8" s="1"/>
      <c r="G8" s="1"/>
      <c r="H8" s="19"/>
      <c r="I8" s="19"/>
      <c r="K8" s="1"/>
      <c r="L8" s="1"/>
      <c r="M8" s="1"/>
      <c r="N8" s="1"/>
      <c r="T8" s="5"/>
      <c r="U8" s="5"/>
      <c r="V8" s="3"/>
      <c r="W8" s="3"/>
      <c r="X8" s="3"/>
      <c r="Y8" s="3"/>
      <c r="Z8" s="3"/>
      <c r="AA8" s="3"/>
      <c r="AB8" s="3"/>
    </row>
    <row r="9">
      <c r="A9" s="2" t="s">
        <v>86</v>
      </c>
      <c r="B9" s="19"/>
      <c r="C9" s="2"/>
      <c r="D9" s="15">
        <f>D8*0.95</f>
        <v>93337.5</v>
      </c>
      <c r="E9" s="19"/>
      <c r="F9" s="19"/>
      <c r="G9" s="19"/>
      <c r="H9" s="19"/>
      <c r="I9" s="19"/>
      <c r="K9" s="1"/>
      <c r="L9" s="1"/>
      <c r="M9" s="1"/>
      <c r="N9" s="1"/>
      <c r="T9" s="5"/>
      <c r="U9" s="5"/>
      <c r="V9" s="3"/>
      <c r="W9" s="3"/>
      <c r="X9" s="3"/>
      <c r="Y9" s="3"/>
      <c r="Z9" s="3"/>
      <c r="AA9" s="3"/>
      <c r="AB9" s="3"/>
    </row>
    <row r="10">
      <c r="A10" s="19"/>
      <c r="B10" s="19"/>
      <c r="C10" s="19"/>
      <c r="D10" s="19"/>
      <c r="E10" s="19"/>
      <c r="F10" s="19"/>
      <c r="G10" s="19"/>
      <c r="H10" s="19"/>
      <c r="I10" s="19"/>
      <c r="K10" s="1"/>
      <c r="L10" s="1"/>
      <c r="M10" s="1"/>
      <c r="N10" s="1"/>
      <c r="T10" s="5"/>
      <c r="U10" s="5"/>
      <c r="V10" s="3"/>
      <c r="W10" s="3"/>
      <c r="X10" s="3"/>
      <c r="Y10" s="3"/>
      <c r="Z10" s="3"/>
      <c r="AA10" s="3"/>
      <c r="AB10" s="3"/>
    </row>
    <row r="11">
      <c r="A11" s="19"/>
      <c r="B11" s="2" t="s">
        <v>89</v>
      </c>
      <c r="C11" s="35">
        <v>9630.0</v>
      </c>
      <c r="D11" s="19"/>
      <c r="E11" s="19"/>
      <c r="F11" s="19"/>
      <c r="G11" s="19"/>
      <c r="H11" s="19"/>
      <c r="I11" s="19"/>
      <c r="K11" s="1"/>
      <c r="L11" s="1"/>
      <c r="M11" s="1"/>
      <c r="N11" s="1"/>
      <c r="T11" s="5"/>
      <c r="U11" s="5"/>
      <c r="V11" s="3"/>
      <c r="W11" s="3"/>
      <c r="X11" s="3"/>
      <c r="Y11" s="3"/>
      <c r="Z11" s="3"/>
      <c r="AA11" s="3"/>
      <c r="AB11" s="3"/>
    </row>
    <row r="12">
      <c r="A12" s="19"/>
      <c r="B12" s="2" t="s">
        <v>54</v>
      </c>
      <c r="C12" s="35">
        <v>31055.0</v>
      </c>
      <c r="D12" s="19"/>
      <c r="E12" s="1"/>
      <c r="F12" s="1" t="s">
        <v>0</v>
      </c>
      <c r="G12" s="1"/>
      <c r="H12" s="19"/>
      <c r="I12" s="19"/>
      <c r="J12" s="19"/>
      <c r="K12" s="1"/>
      <c r="L12" s="1"/>
      <c r="M12" s="1"/>
      <c r="N12" s="1"/>
      <c r="T12" s="5"/>
      <c r="U12" s="5"/>
      <c r="V12" s="3"/>
      <c r="W12" s="3"/>
      <c r="X12" s="3"/>
      <c r="Y12" s="3"/>
      <c r="Z12" s="3"/>
      <c r="AA12" s="3"/>
      <c r="AB12" s="3"/>
    </row>
    <row r="13">
      <c r="A13" s="19"/>
      <c r="B13" s="2" t="s">
        <v>90</v>
      </c>
      <c r="C13" s="35">
        <v>300.0</v>
      </c>
      <c r="D13" s="19"/>
      <c r="E13" s="1"/>
      <c r="F13" s="1"/>
      <c r="G13" s="1"/>
      <c r="H13" s="19"/>
      <c r="I13" s="19"/>
      <c r="J13" s="19"/>
      <c r="K13" s="1"/>
      <c r="L13" s="1"/>
      <c r="M13" s="1"/>
      <c r="N13" s="1"/>
      <c r="T13" s="5"/>
      <c r="U13" s="5"/>
      <c r="V13" s="3"/>
      <c r="W13" s="3"/>
      <c r="X13" s="3"/>
      <c r="Y13" s="3"/>
      <c r="Z13" s="3"/>
      <c r="AA13" s="3"/>
      <c r="AB13" s="3"/>
    </row>
    <row r="14">
      <c r="A14" s="19"/>
      <c r="B14" s="2" t="s">
        <v>91</v>
      </c>
      <c r="C14" s="35">
        <v>1500.0</v>
      </c>
      <c r="D14" s="19"/>
      <c r="E14" s="1"/>
      <c r="F14" s="25">
        <v>7055.0</v>
      </c>
      <c r="G14" s="1" t="s">
        <v>92</v>
      </c>
      <c r="H14" s="2" t="s">
        <v>93</v>
      </c>
      <c r="I14" s="19"/>
      <c r="J14" s="19"/>
      <c r="K14" s="1"/>
      <c r="L14" s="1"/>
      <c r="M14" s="1"/>
      <c r="N14" s="1"/>
      <c r="T14" s="5"/>
      <c r="U14" s="5"/>
      <c r="V14" s="3"/>
      <c r="W14" s="3"/>
      <c r="X14" s="3"/>
      <c r="Y14" s="3"/>
      <c r="Z14" s="3"/>
      <c r="AA14" s="3"/>
      <c r="AB14" s="3"/>
    </row>
    <row r="15">
      <c r="A15" s="19"/>
      <c r="B15" s="2" t="s">
        <v>94</v>
      </c>
      <c r="C15" s="35">
        <v>500.0</v>
      </c>
      <c r="D15" s="19"/>
      <c r="E15" s="1"/>
      <c r="F15" s="25">
        <v>12600.0</v>
      </c>
      <c r="G15" s="1" t="s">
        <v>95</v>
      </c>
      <c r="H15" s="2" t="s">
        <v>96</v>
      </c>
      <c r="I15" s="19"/>
      <c r="J15" s="19"/>
      <c r="K15" s="1"/>
      <c r="L15" s="1"/>
      <c r="M15" s="1"/>
      <c r="N15" s="1"/>
      <c r="T15" s="5"/>
      <c r="U15" s="5"/>
      <c r="V15" s="3"/>
      <c r="W15" s="3"/>
      <c r="X15" s="3"/>
      <c r="Y15" s="3"/>
      <c r="Z15" s="3"/>
      <c r="AA15" s="3"/>
      <c r="AB15" s="3"/>
    </row>
    <row r="16">
      <c r="A16" s="19"/>
      <c r="B16" s="2" t="s">
        <v>56</v>
      </c>
      <c r="C16" s="35">
        <v>5200.0</v>
      </c>
      <c r="D16" s="19"/>
      <c r="E16" s="1"/>
      <c r="F16" s="25">
        <v>4680.0</v>
      </c>
      <c r="G16" s="1" t="s">
        <v>97</v>
      </c>
      <c r="H16" s="2" t="s">
        <v>66</v>
      </c>
      <c r="I16" s="19"/>
      <c r="J16" s="19"/>
      <c r="K16" s="1"/>
      <c r="L16" s="1"/>
      <c r="M16" s="1"/>
      <c r="N16" s="1"/>
      <c r="T16" s="5"/>
      <c r="U16" s="5"/>
      <c r="V16" s="3"/>
      <c r="W16" s="3"/>
      <c r="X16" s="3"/>
      <c r="Y16" s="3"/>
      <c r="Z16" s="3"/>
      <c r="AA16" s="3"/>
      <c r="AB16" s="3"/>
    </row>
    <row r="17">
      <c r="A17" s="19"/>
      <c r="B17" s="2" t="s">
        <v>98</v>
      </c>
      <c r="C17" s="35">
        <v>2000.0</v>
      </c>
      <c r="D17" s="19"/>
      <c r="E17" s="1"/>
      <c r="F17" s="25">
        <v>6500.0</v>
      </c>
      <c r="G17" s="25"/>
      <c r="H17" s="19"/>
      <c r="I17" s="19"/>
      <c r="J17" s="19"/>
      <c r="K17" s="1"/>
      <c r="L17" s="1"/>
      <c r="M17" s="27"/>
      <c r="N17" s="1"/>
      <c r="T17" s="5"/>
      <c r="U17" s="5"/>
      <c r="V17" s="3"/>
      <c r="W17" s="3"/>
      <c r="X17" s="3"/>
      <c r="Y17" s="3"/>
      <c r="Z17" s="3"/>
      <c r="AA17" s="3"/>
      <c r="AB17" s="3"/>
    </row>
    <row r="18">
      <c r="A18" s="19"/>
      <c r="B18" s="2" t="s">
        <v>99</v>
      </c>
      <c r="C18" s="35">
        <v>1115.0</v>
      </c>
      <c r="D18" s="19"/>
      <c r="E18" s="1"/>
      <c r="F18" s="25"/>
      <c r="G18" s="1"/>
      <c r="H18" s="19"/>
      <c r="I18" s="19"/>
      <c r="J18" s="19"/>
      <c r="K18" s="1"/>
      <c r="L18" s="1"/>
      <c r="M18" s="1"/>
      <c r="N18" s="1"/>
      <c r="T18" s="5"/>
      <c r="U18" s="5"/>
      <c r="V18" s="3"/>
      <c r="W18" s="3"/>
      <c r="X18" s="3"/>
      <c r="Y18" s="3"/>
      <c r="Z18" s="3"/>
      <c r="AA18" s="3"/>
      <c r="AB18" s="3"/>
    </row>
    <row r="19">
      <c r="A19" s="19"/>
      <c r="B19" s="2" t="s">
        <v>70</v>
      </c>
      <c r="C19" s="35">
        <v>1000.0</v>
      </c>
      <c r="D19" s="19"/>
      <c r="E19" s="1"/>
      <c r="F19" s="1"/>
      <c r="G19" s="1"/>
      <c r="H19" s="19"/>
      <c r="I19" s="19"/>
      <c r="J19" s="19"/>
      <c r="K19" s="1"/>
      <c r="L19" s="1"/>
      <c r="M19" s="1"/>
      <c r="N19" s="1"/>
      <c r="T19" s="5"/>
      <c r="U19" s="5"/>
      <c r="V19" s="3"/>
      <c r="W19" s="3"/>
      <c r="X19" s="3"/>
      <c r="Y19" s="3"/>
      <c r="Z19" s="3"/>
      <c r="AA19" s="3"/>
      <c r="AB19" s="3"/>
    </row>
    <row r="20">
      <c r="A20" s="19"/>
      <c r="B20" s="2" t="s">
        <v>100</v>
      </c>
      <c r="C20" s="35">
        <v>700.0</v>
      </c>
      <c r="D20" s="19"/>
      <c r="E20" s="1"/>
      <c r="F20" s="1"/>
      <c r="G20" s="1"/>
      <c r="H20" s="19"/>
      <c r="I20" s="19"/>
      <c r="J20" s="19"/>
      <c r="K20" s="1"/>
      <c r="L20" s="1"/>
      <c r="M20" s="1"/>
      <c r="N20" s="1"/>
      <c r="T20" s="5"/>
      <c r="U20" s="5"/>
      <c r="V20" s="3"/>
      <c r="W20" s="3"/>
      <c r="X20" s="3"/>
      <c r="Y20" s="3"/>
      <c r="Z20" s="3"/>
      <c r="AA20" s="3"/>
      <c r="AB20" s="3"/>
    </row>
    <row r="21">
      <c r="A21" s="19"/>
      <c r="B21" s="3" t="s">
        <v>65</v>
      </c>
      <c r="C21" s="11">
        <v>280.0</v>
      </c>
      <c r="D21" s="19"/>
      <c r="E21" s="1"/>
      <c r="F21" s="38" t="s">
        <v>99</v>
      </c>
      <c r="G21" s="38"/>
      <c r="H21" s="39"/>
      <c r="I21" s="19"/>
      <c r="J21" s="19"/>
      <c r="K21" s="1"/>
      <c r="L21" s="1"/>
      <c r="M21" s="1"/>
      <c r="N21" s="1"/>
      <c r="T21" s="5"/>
      <c r="U21" s="5"/>
      <c r="V21" s="3"/>
      <c r="W21" s="3"/>
      <c r="X21" s="3"/>
      <c r="Y21" s="3"/>
      <c r="Z21" s="3"/>
      <c r="AA21" s="3"/>
      <c r="AB21" s="3"/>
    </row>
    <row r="22">
      <c r="A22" s="19"/>
      <c r="B22" s="19"/>
      <c r="C22" s="40">
        <f>SUM(C11:C21)</f>
        <v>53280</v>
      </c>
      <c r="D22" s="19"/>
      <c r="E22" s="1"/>
      <c r="F22" s="38" t="s">
        <v>101</v>
      </c>
      <c r="G22" s="41">
        <v>415.0</v>
      </c>
      <c r="H22" s="42" t="s">
        <v>102</v>
      </c>
      <c r="I22" s="19"/>
      <c r="J22" s="19"/>
      <c r="K22" s="1"/>
      <c r="L22" s="1"/>
      <c r="M22" s="1"/>
      <c r="N22" s="1"/>
      <c r="T22" s="5"/>
      <c r="U22" s="5"/>
      <c r="V22" s="3"/>
      <c r="W22" s="3"/>
      <c r="X22" s="3"/>
      <c r="Y22" s="3"/>
      <c r="Z22" s="3"/>
      <c r="AA22" s="3"/>
      <c r="AB22" s="3"/>
    </row>
    <row r="23">
      <c r="A23" s="19"/>
      <c r="B23" s="19"/>
      <c r="C23" s="19"/>
      <c r="D23" s="19"/>
      <c r="E23" s="1"/>
      <c r="F23" s="38" t="s">
        <v>66</v>
      </c>
      <c r="G23" s="41">
        <v>245.0</v>
      </c>
      <c r="H23" s="42" t="s">
        <v>103</v>
      </c>
      <c r="I23" s="19"/>
      <c r="J23" s="19"/>
      <c r="K23" s="1"/>
      <c r="L23" s="1"/>
      <c r="M23" s="1"/>
      <c r="N23" s="1"/>
      <c r="T23" s="5"/>
      <c r="U23" s="5"/>
      <c r="V23" s="3"/>
      <c r="W23" s="3"/>
      <c r="X23" s="3"/>
      <c r="Y23" s="3"/>
      <c r="Z23" s="3"/>
      <c r="AA23" s="3"/>
      <c r="AB23" s="3"/>
    </row>
    <row r="24">
      <c r="A24" s="19"/>
      <c r="B24" s="19"/>
      <c r="C24" s="19"/>
      <c r="D24" s="19"/>
      <c r="E24" s="1"/>
      <c r="F24" s="38" t="s">
        <v>104</v>
      </c>
      <c r="G24" s="41">
        <v>85.0</v>
      </c>
      <c r="H24" s="42" t="s">
        <v>105</v>
      </c>
      <c r="I24" s="19"/>
      <c r="J24" s="19"/>
      <c r="K24" s="1"/>
      <c r="L24" s="1"/>
      <c r="M24" s="1"/>
      <c r="N24" s="1"/>
      <c r="T24" s="5"/>
      <c r="U24" s="5"/>
      <c r="V24" s="3"/>
      <c r="W24" s="3"/>
      <c r="X24" s="3"/>
      <c r="Y24" s="3"/>
      <c r="Z24" s="3"/>
      <c r="AA24" s="3"/>
      <c r="AB24" s="3"/>
    </row>
    <row r="25">
      <c r="A25" s="19"/>
      <c r="B25" s="19"/>
      <c r="C25" s="19"/>
      <c r="D25" s="19"/>
      <c r="E25" s="1"/>
      <c r="F25" s="38" t="s">
        <v>106</v>
      </c>
      <c r="G25" s="41">
        <v>420.0</v>
      </c>
      <c r="H25" s="42" t="s">
        <v>66</v>
      </c>
      <c r="I25" s="19"/>
      <c r="J25" s="19"/>
      <c r="K25" s="1"/>
      <c r="L25" s="1"/>
      <c r="M25" s="1"/>
      <c r="N25" s="1"/>
      <c r="T25" s="5"/>
      <c r="U25" s="5"/>
      <c r="V25" s="3"/>
      <c r="W25" s="3"/>
      <c r="X25" s="3"/>
      <c r="Y25" s="3"/>
      <c r="Z25" s="3"/>
      <c r="AA25" s="3"/>
      <c r="AB25" s="3"/>
    </row>
    <row r="26">
      <c r="A26" s="19"/>
      <c r="B26" s="43">
        <v>44910.0</v>
      </c>
      <c r="C26" s="15">
        <v>1000.0</v>
      </c>
      <c r="D26" s="2" t="s">
        <v>107</v>
      </c>
      <c r="E26" s="1"/>
      <c r="F26" s="38" t="s">
        <v>108</v>
      </c>
      <c r="G26" s="41">
        <v>250.0</v>
      </c>
      <c r="H26" s="42" t="s">
        <v>109</v>
      </c>
      <c r="I26" s="19"/>
      <c r="J26" s="19"/>
      <c r="K26" s="1"/>
      <c r="L26" s="1"/>
      <c r="M26" s="1"/>
      <c r="N26" s="1"/>
      <c r="T26" s="5"/>
      <c r="U26" s="5"/>
      <c r="V26" s="3"/>
      <c r="W26" s="3"/>
      <c r="X26" s="3"/>
      <c r="Y26" s="3"/>
      <c r="Z26" s="3"/>
      <c r="AA26" s="3"/>
      <c r="AB26" s="3"/>
    </row>
    <row r="27">
      <c r="A27" s="19"/>
      <c r="B27" s="19"/>
      <c r="C27" s="19"/>
      <c r="D27" s="19"/>
      <c r="E27" s="1"/>
      <c r="F27" s="38" t="s">
        <v>110</v>
      </c>
      <c r="G27" s="41">
        <v>35.0</v>
      </c>
      <c r="H27" s="42" t="s">
        <v>111</v>
      </c>
      <c r="I27" s="19"/>
      <c r="J27" s="19"/>
      <c r="K27" s="1"/>
      <c r="L27" s="1"/>
      <c r="M27" s="1"/>
      <c r="N27" s="1"/>
      <c r="T27" s="5"/>
      <c r="U27" s="5"/>
      <c r="V27" s="3"/>
      <c r="W27" s="3"/>
      <c r="X27" s="3"/>
      <c r="Y27" s="3"/>
      <c r="Z27" s="3"/>
      <c r="AA27" s="3"/>
      <c r="AB27" s="3"/>
    </row>
    <row r="28">
      <c r="A28" s="19"/>
      <c r="B28" s="19"/>
      <c r="C28" s="19"/>
      <c r="D28" s="19"/>
      <c r="E28" s="1"/>
      <c r="F28" s="38" t="s">
        <v>112</v>
      </c>
      <c r="G28" s="41">
        <v>20.0</v>
      </c>
      <c r="H28" s="42" t="s">
        <v>113</v>
      </c>
      <c r="I28" s="19"/>
      <c r="J28" s="19"/>
      <c r="K28" s="19"/>
      <c r="V28" s="3"/>
      <c r="W28" s="3"/>
      <c r="X28" s="3"/>
      <c r="Y28" s="3"/>
      <c r="Z28" s="3"/>
      <c r="AA28" s="3"/>
      <c r="AB28" s="3"/>
    </row>
    <row r="29">
      <c r="A29" s="19"/>
      <c r="B29" s="19"/>
      <c r="C29" s="19"/>
      <c r="D29" s="19"/>
      <c r="E29" s="1"/>
      <c r="F29" s="38" t="s">
        <v>114</v>
      </c>
      <c r="G29" s="41">
        <v>140.0</v>
      </c>
      <c r="H29" s="42" t="s">
        <v>115</v>
      </c>
      <c r="I29" s="19"/>
      <c r="J29" s="19"/>
      <c r="K29" s="19"/>
      <c r="V29" s="3"/>
      <c r="W29" s="3"/>
      <c r="X29" s="3"/>
      <c r="Y29" s="3"/>
      <c r="Z29" s="3"/>
      <c r="AA29" s="3"/>
      <c r="AB29" s="3"/>
    </row>
    <row r="30">
      <c r="A30" s="19"/>
      <c r="B30" s="19"/>
      <c r="C30" s="19"/>
      <c r="D30" s="19"/>
      <c r="E30" s="1"/>
      <c r="F30" s="38" t="s">
        <v>56</v>
      </c>
      <c r="G30" s="44">
        <v>3000.0</v>
      </c>
      <c r="H30" s="42" t="s">
        <v>116</v>
      </c>
      <c r="I30" s="19"/>
      <c r="J30" s="19"/>
      <c r="K30" s="19"/>
      <c r="V30" s="3"/>
      <c r="W30" s="3"/>
      <c r="X30" s="3"/>
      <c r="Y30" s="3"/>
      <c r="Z30" s="3"/>
      <c r="AA30" s="3"/>
      <c r="AB30" s="3"/>
    </row>
    <row r="31">
      <c r="A31" s="19"/>
      <c r="B31" s="19"/>
      <c r="C31" s="19"/>
      <c r="D31" s="19"/>
      <c r="E31" s="1"/>
      <c r="F31" s="1" t="s">
        <v>56</v>
      </c>
      <c r="G31" s="27">
        <v>942.0</v>
      </c>
      <c r="H31" s="2" t="s">
        <v>115</v>
      </c>
      <c r="I31" s="19"/>
      <c r="J31" s="19"/>
      <c r="K31" s="19"/>
    </row>
    <row r="32">
      <c r="A32" s="19"/>
      <c r="B32" s="19"/>
      <c r="C32" s="19"/>
      <c r="D32" s="19"/>
      <c r="E32" s="1"/>
      <c r="F32" s="1"/>
      <c r="G32" s="1"/>
    </row>
    <row r="33">
      <c r="A33" s="19"/>
      <c r="B33" s="19"/>
      <c r="C33" s="19"/>
      <c r="D33" s="19"/>
      <c r="E33" s="1"/>
      <c r="F33" s="1"/>
      <c r="G33" s="1"/>
    </row>
    <row r="34">
      <c r="A34" s="19"/>
      <c r="B34" s="19"/>
      <c r="C34" s="19"/>
      <c r="D34" s="19"/>
      <c r="E34" s="19"/>
      <c r="F34" s="19"/>
    </row>
    <row r="35">
      <c r="A35" s="19"/>
      <c r="B35" s="19"/>
      <c r="C35" s="19"/>
      <c r="D35" s="19"/>
      <c r="E35" s="19"/>
      <c r="F35" s="19"/>
    </row>
    <row r="36">
      <c r="A36" s="19"/>
      <c r="B36" s="19"/>
      <c r="C36" s="19"/>
      <c r="D36" s="19"/>
      <c r="E36" s="19"/>
      <c r="F36" s="19"/>
    </row>
    <row r="37">
      <c r="A37" s="19"/>
      <c r="B37" s="19"/>
      <c r="C37" s="19"/>
      <c r="D37" s="19"/>
      <c r="E37" s="19"/>
      <c r="F37" s="19"/>
    </row>
    <row r="38">
      <c r="A38" s="19"/>
      <c r="B38" s="19"/>
      <c r="C38" s="19"/>
      <c r="D38" s="19"/>
      <c r="E38" s="19"/>
      <c r="F38" s="19"/>
    </row>
    <row r="39">
      <c r="A39" s="19"/>
      <c r="B39" s="19"/>
      <c r="C39" s="19"/>
      <c r="D39" s="19"/>
      <c r="E39" s="19"/>
      <c r="F39" s="19"/>
    </row>
    <row r="40">
      <c r="A40" s="19"/>
      <c r="B40" s="19"/>
      <c r="C40" s="19"/>
      <c r="D40" s="19"/>
    </row>
    <row r="41">
      <c r="A41" s="19"/>
      <c r="B41" s="19"/>
      <c r="C41" s="19"/>
      <c r="D41" s="19"/>
    </row>
    <row r="42">
      <c r="A42" s="19"/>
      <c r="B42" s="19"/>
      <c r="C42" s="19"/>
      <c r="D42" s="19"/>
    </row>
    <row r="43">
      <c r="A43" s="19"/>
      <c r="B43" s="19"/>
      <c r="C43" s="19"/>
      <c r="D43" s="19"/>
    </row>
  </sheetData>
  <mergeCells count="2">
    <mergeCell ref="B1:D1"/>
    <mergeCell ref="E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4" t="s">
        <v>1</v>
      </c>
      <c r="F1" s="4"/>
    </row>
    <row r="2">
      <c r="A2" s="4" t="s">
        <v>9</v>
      </c>
      <c r="B2" s="4" t="s">
        <v>10</v>
      </c>
      <c r="C2" s="4" t="s">
        <v>11</v>
      </c>
      <c r="D2" s="4" t="s">
        <v>12</v>
      </c>
      <c r="F2" s="4"/>
      <c r="G2" s="4"/>
      <c r="H2" s="4"/>
      <c r="I2" s="4"/>
    </row>
    <row r="3">
      <c r="A3" s="4" t="s">
        <v>16</v>
      </c>
      <c r="B3" s="9">
        <v>44.0</v>
      </c>
      <c r="C3" s="11">
        <v>90.0</v>
      </c>
      <c r="D3" s="11">
        <v>3960.0</v>
      </c>
      <c r="F3" s="4"/>
      <c r="G3" s="9"/>
      <c r="H3" s="11"/>
      <c r="I3" s="11"/>
    </row>
    <row r="4">
      <c r="A4" s="4" t="s">
        <v>24</v>
      </c>
      <c r="B4" s="9">
        <v>70.0</v>
      </c>
      <c r="C4" s="11">
        <v>115.0</v>
      </c>
      <c r="D4" s="11">
        <v>8050.0</v>
      </c>
      <c r="F4" s="4"/>
      <c r="G4" s="9"/>
      <c r="H4" s="11"/>
      <c r="I4" s="11"/>
    </row>
    <row r="5">
      <c r="A5" s="4" t="s">
        <v>27</v>
      </c>
      <c r="B5" s="9">
        <v>93.0</v>
      </c>
      <c r="C5" s="11">
        <v>135.0</v>
      </c>
      <c r="D5" s="11">
        <v>12555.0</v>
      </c>
      <c r="F5" s="4"/>
      <c r="G5" s="9"/>
      <c r="H5" s="11"/>
      <c r="I5" s="11"/>
    </row>
    <row r="6">
      <c r="A6" s="4"/>
      <c r="B6" s="9"/>
      <c r="C6" s="11"/>
      <c r="D6" s="16"/>
      <c r="E6" s="17" t="s">
        <v>32</v>
      </c>
      <c r="F6" s="4" t="s">
        <v>33</v>
      </c>
      <c r="G6" s="3" t="s">
        <v>34</v>
      </c>
      <c r="H6" s="18" t="s">
        <v>36</v>
      </c>
      <c r="I6" s="11"/>
    </row>
    <row r="7">
      <c r="A7" s="4"/>
      <c r="B7" s="9"/>
      <c r="C7" s="18" t="s">
        <v>38</v>
      </c>
      <c r="D7" s="16"/>
      <c r="F7" s="21">
        <v>24195.0</v>
      </c>
      <c r="G7" s="9">
        <v>110.0</v>
      </c>
      <c r="H7" s="11">
        <v>380.0</v>
      </c>
      <c r="I7" s="11">
        <f>SUM(F7:H7)</f>
        <v>24685</v>
      </c>
    </row>
    <row r="8">
      <c r="A8" s="4" t="s">
        <v>47</v>
      </c>
      <c r="F8" s="4"/>
      <c r="G8" s="9"/>
      <c r="H8" s="11"/>
      <c r="I8" s="11"/>
    </row>
    <row r="9">
      <c r="A9" s="4" t="s">
        <v>48</v>
      </c>
      <c r="B9" s="4" t="s">
        <v>6</v>
      </c>
      <c r="D9" s="4" t="s">
        <v>13</v>
      </c>
      <c r="F9" s="4"/>
      <c r="G9" s="9"/>
      <c r="H9" s="11"/>
      <c r="I9" s="11"/>
    </row>
    <row r="10">
      <c r="A10" s="4" t="s">
        <v>51</v>
      </c>
      <c r="B10" s="3" t="s">
        <v>53</v>
      </c>
      <c r="D10" s="11">
        <v>5850.0</v>
      </c>
      <c r="F10" s="4"/>
      <c r="G10" s="9"/>
      <c r="H10" s="11"/>
      <c r="I10" s="11"/>
    </row>
    <row r="11">
      <c r="A11" s="4" t="s">
        <v>51</v>
      </c>
      <c r="B11" s="3" t="s">
        <v>54</v>
      </c>
      <c r="D11" s="11">
        <v>5680.0</v>
      </c>
      <c r="F11" s="4"/>
      <c r="G11" s="9"/>
      <c r="H11" s="11"/>
      <c r="I11" s="11"/>
    </row>
    <row r="12">
      <c r="A12" s="4" t="s">
        <v>56</v>
      </c>
      <c r="B12" s="3"/>
      <c r="D12" s="11"/>
    </row>
    <row r="13">
      <c r="A13" s="4" t="s">
        <v>56</v>
      </c>
      <c r="B13" s="3"/>
      <c r="D13" s="11"/>
    </row>
    <row r="14">
      <c r="A14" s="4" t="s">
        <v>56</v>
      </c>
      <c r="B14" s="3"/>
      <c r="D14" s="11"/>
    </row>
    <row r="15">
      <c r="A15" s="4" t="s">
        <v>59</v>
      </c>
      <c r="B15" s="3"/>
      <c r="D15" s="11"/>
    </row>
    <row r="16">
      <c r="A16" s="4" t="s">
        <v>61</v>
      </c>
      <c r="B16" s="3" t="s">
        <v>62</v>
      </c>
      <c r="D16" s="11"/>
    </row>
    <row r="17">
      <c r="A17" s="4" t="s">
        <v>61</v>
      </c>
      <c r="B17" s="3" t="s">
        <v>65</v>
      </c>
      <c r="D17" s="11"/>
    </row>
    <row r="18">
      <c r="A18" s="4" t="s">
        <v>61</v>
      </c>
      <c r="B18" s="3" t="s">
        <v>67</v>
      </c>
      <c r="D18" s="11">
        <v>10500.0</v>
      </c>
    </row>
    <row r="19">
      <c r="A19" s="4" t="s">
        <v>61</v>
      </c>
      <c r="B19" s="3" t="s">
        <v>70</v>
      </c>
      <c r="D19" s="11">
        <v>500.0</v>
      </c>
    </row>
    <row r="20">
      <c r="A20" s="4" t="s">
        <v>61</v>
      </c>
      <c r="B20" s="3" t="s">
        <v>26</v>
      </c>
      <c r="D20" s="11">
        <v>1600.0</v>
      </c>
    </row>
    <row r="21">
      <c r="A21" s="4" t="s">
        <v>61</v>
      </c>
      <c r="B21" s="3" t="s">
        <v>65</v>
      </c>
      <c r="D21" s="11">
        <v>270.0</v>
      </c>
    </row>
    <row r="22">
      <c r="A22" s="4" t="s">
        <v>61</v>
      </c>
      <c r="B22" s="3"/>
      <c r="D22" s="11"/>
    </row>
    <row r="23">
      <c r="A23" s="4" t="s">
        <v>61</v>
      </c>
      <c r="B23" s="3"/>
      <c r="D23" s="11"/>
    </row>
    <row r="24">
      <c r="A24" s="4" t="s">
        <v>61</v>
      </c>
      <c r="B24" s="3"/>
      <c r="D24" s="11"/>
    </row>
    <row r="25">
      <c r="A25" s="4" t="s">
        <v>77</v>
      </c>
      <c r="B25" s="3"/>
      <c r="D25" s="11"/>
      <c r="E25" s="17"/>
    </row>
    <row r="26">
      <c r="D26" s="30">
        <f>SUM(D10:D25)</f>
        <v>24400</v>
      </c>
      <c r="E26" s="31">
        <v>24685.0</v>
      </c>
    </row>
  </sheetData>
  <mergeCells count="20">
    <mergeCell ref="A1:D1"/>
    <mergeCell ref="F1:I1"/>
    <mergeCell ref="A8:D8"/>
    <mergeCell ref="B9:C9"/>
    <mergeCell ref="B10:C10"/>
    <mergeCell ref="B11:C11"/>
    <mergeCell ref="B12:C12"/>
    <mergeCell ref="B20:C20"/>
    <mergeCell ref="B21:C21"/>
    <mergeCell ref="B22:C22"/>
    <mergeCell ref="B23:C23"/>
    <mergeCell ref="B24:C24"/>
    <mergeCell ref="B25:C25"/>
    <mergeCell ref="B13:C13"/>
    <mergeCell ref="B14:C14"/>
    <mergeCell ref="B15:C15"/>
    <mergeCell ref="B16:C16"/>
    <mergeCell ref="B17:C17"/>
    <mergeCell ref="B18:C18"/>
    <mergeCell ref="B19:C19"/>
  </mergeCells>
  <conditionalFormatting sqref="D10:D26">
    <cfRule type="notContainsBlanks" dxfId="0" priority="1">
      <formula>LEN(TRIM(D10))&gt;0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4" t="s">
        <v>117</v>
      </c>
    </row>
    <row r="2">
      <c r="A2" s="4" t="s">
        <v>9</v>
      </c>
      <c r="B2" s="45" t="s">
        <v>11</v>
      </c>
      <c r="C2" s="45" t="s">
        <v>10</v>
      </c>
      <c r="D2" s="4" t="s">
        <v>12</v>
      </c>
    </row>
    <row r="3">
      <c r="A3" s="4" t="s">
        <v>16</v>
      </c>
      <c r="B3" s="11">
        <v>85.0</v>
      </c>
      <c r="C3" s="11">
        <v>98.0</v>
      </c>
      <c r="D3" s="11">
        <v>8330.0</v>
      </c>
    </row>
    <row r="4">
      <c r="A4" s="4" t="s">
        <v>24</v>
      </c>
      <c r="B4" s="11">
        <v>110.0</v>
      </c>
      <c r="C4" s="11">
        <v>131.0</v>
      </c>
      <c r="D4" s="11">
        <v>14410.0</v>
      </c>
    </row>
    <row r="5">
      <c r="A5" s="4" t="s">
        <v>27</v>
      </c>
      <c r="B5" s="11">
        <v>135.0</v>
      </c>
      <c r="C5" s="11">
        <v>223.0</v>
      </c>
      <c r="D5" s="11">
        <v>30105.0</v>
      </c>
    </row>
    <row r="6">
      <c r="A6" s="4"/>
      <c r="B6" s="11">
        <v>112.9</v>
      </c>
      <c r="C6" s="18" t="s">
        <v>118</v>
      </c>
      <c r="D6" s="46">
        <f>SUM(D3:D5)</f>
        <v>52845</v>
      </c>
    </row>
    <row r="7">
      <c r="A7" s="4"/>
      <c r="B7" s="46"/>
      <c r="C7" s="18" t="s">
        <v>38</v>
      </c>
      <c r="D7" s="11">
        <v>48112.0</v>
      </c>
      <c r="F7" s="22"/>
    </row>
    <row r="8">
      <c r="A8" s="4" t="s">
        <v>119</v>
      </c>
    </row>
    <row r="9">
      <c r="A9" s="4" t="s">
        <v>48</v>
      </c>
      <c r="B9" s="4" t="s">
        <v>6</v>
      </c>
      <c r="D9" s="4" t="s">
        <v>13</v>
      </c>
    </row>
    <row r="10">
      <c r="A10" s="4" t="s">
        <v>51</v>
      </c>
      <c r="B10" s="3" t="s">
        <v>121</v>
      </c>
      <c r="D10" s="11">
        <v>300.0</v>
      </c>
    </row>
    <row r="11">
      <c r="A11" s="4" t="s">
        <v>51</v>
      </c>
      <c r="B11" s="3" t="s">
        <v>54</v>
      </c>
      <c r="D11" s="11">
        <v>15850.0</v>
      </c>
    </row>
    <row r="12">
      <c r="A12" s="4" t="s">
        <v>56</v>
      </c>
      <c r="B12" s="3" t="s">
        <v>122</v>
      </c>
      <c r="D12" s="11">
        <v>3510.0</v>
      </c>
    </row>
    <row r="13">
      <c r="A13" s="4" t="s">
        <v>56</v>
      </c>
      <c r="B13" s="3" t="s">
        <v>123</v>
      </c>
      <c r="D13" s="11">
        <v>300.0</v>
      </c>
    </row>
    <row r="14">
      <c r="A14" s="4" t="s">
        <v>56</v>
      </c>
      <c r="B14" s="3" t="s">
        <v>124</v>
      </c>
      <c r="D14" s="11">
        <v>800.0</v>
      </c>
    </row>
    <row r="15">
      <c r="A15" s="4" t="s">
        <v>59</v>
      </c>
      <c r="B15" s="3"/>
      <c r="D15" s="11"/>
    </row>
    <row r="16">
      <c r="A16" s="4" t="s">
        <v>61</v>
      </c>
      <c r="B16" s="3" t="s">
        <v>125</v>
      </c>
      <c r="D16" s="11">
        <v>200.0</v>
      </c>
    </row>
    <row r="17">
      <c r="A17" s="4" t="s">
        <v>61</v>
      </c>
      <c r="B17" s="3"/>
      <c r="D17" s="11"/>
    </row>
    <row r="18">
      <c r="A18" s="4" t="s">
        <v>61</v>
      </c>
      <c r="B18" s="3" t="s">
        <v>89</v>
      </c>
      <c r="D18" s="11">
        <v>2700.0</v>
      </c>
    </row>
    <row r="19">
      <c r="A19" s="4" t="s">
        <v>61</v>
      </c>
      <c r="B19" s="3" t="s">
        <v>70</v>
      </c>
      <c r="D19" s="11">
        <v>1000.0</v>
      </c>
    </row>
    <row r="20">
      <c r="A20" s="4" t="s">
        <v>61</v>
      </c>
      <c r="B20" s="3" t="s">
        <v>128</v>
      </c>
      <c r="D20" s="11">
        <v>250.0</v>
      </c>
    </row>
    <row r="21">
      <c r="A21" s="4" t="s">
        <v>61</v>
      </c>
      <c r="B21" s="3" t="s">
        <v>129</v>
      </c>
      <c r="D21" s="11">
        <v>50.0</v>
      </c>
    </row>
    <row r="22">
      <c r="A22" s="4" t="s">
        <v>61</v>
      </c>
      <c r="B22" s="3" t="s">
        <v>131</v>
      </c>
      <c r="D22" s="11">
        <v>400.0</v>
      </c>
    </row>
    <row r="23">
      <c r="A23" s="4" t="s">
        <v>61</v>
      </c>
      <c r="B23" s="3" t="s">
        <v>132</v>
      </c>
      <c r="D23" s="11">
        <v>1915.0</v>
      </c>
    </row>
    <row r="24">
      <c r="A24" s="4" t="s">
        <v>61</v>
      </c>
      <c r="B24" s="3" t="s">
        <v>99</v>
      </c>
      <c r="D24" s="11">
        <v>160.0</v>
      </c>
    </row>
    <row r="25">
      <c r="A25" s="4" t="s">
        <v>77</v>
      </c>
      <c r="B25" s="3" t="s">
        <v>135</v>
      </c>
      <c r="D25" s="11">
        <v>400.0</v>
      </c>
    </row>
    <row r="26">
      <c r="D26" s="30">
        <f>SUM(D10:D25)</f>
        <v>27835</v>
      </c>
    </row>
    <row r="28">
      <c r="A28" s="4" t="s">
        <v>138</v>
      </c>
    </row>
    <row r="29">
      <c r="A29" s="3" t="s">
        <v>140</v>
      </c>
      <c r="B29" s="3" t="s">
        <v>142</v>
      </c>
      <c r="C29" s="3" t="s">
        <v>144</v>
      </c>
      <c r="D29" s="3" t="s">
        <v>145</v>
      </c>
    </row>
    <row r="30">
      <c r="A30" s="9">
        <v>48112.0</v>
      </c>
      <c r="B30" s="9">
        <v>1500.0</v>
      </c>
      <c r="C30" s="9">
        <v>200.0</v>
      </c>
      <c r="D30" s="9">
        <v>1740.0</v>
      </c>
      <c r="E30" s="48">
        <f>SUM(A30:D30)</f>
        <v>51552</v>
      </c>
    </row>
    <row r="31">
      <c r="T31" s="5"/>
      <c r="U31" s="5"/>
    </row>
    <row r="32">
      <c r="A32" s="49" t="s">
        <v>149</v>
      </c>
      <c r="B32" s="50">
        <v>24097.0</v>
      </c>
      <c r="T32" s="5"/>
      <c r="U32" s="5"/>
    </row>
    <row r="33">
      <c r="T33" s="5"/>
      <c r="U33" s="5"/>
    </row>
    <row r="34">
      <c r="T34" s="5"/>
      <c r="U34" s="5"/>
    </row>
    <row r="35">
      <c r="T35" s="5"/>
      <c r="U35" s="5"/>
    </row>
    <row r="36">
      <c r="T36" s="5"/>
      <c r="U36" s="5"/>
    </row>
    <row r="37">
      <c r="T37" s="5"/>
      <c r="U37" s="5"/>
    </row>
    <row r="38">
      <c r="T38" s="5"/>
      <c r="U38" s="5"/>
    </row>
    <row r="46">
      <c r="Z46" s="5"/>
    </row>
  </sheetData>
  <mergeCells count="20">
    <mergeCell ref="A1:D1"/>
    <mergeCell ref="A8:D8"/>
    <mergeCell ref="B9:C9"/>
    <mergeCell ref="B10:C10"/>
    <mergeCell ref="B11:C11"/>
    <mergeCell ref="B12:C12"/>
    <mergeCell ref="B13:C13"/>
    <mergeCell ref="B21:C21"/>
    <mergeCell ref="B22:C22"/>
    <mergeCell ref="B23:C23"/>
    <mergeCell ref="B24:C24"/>
    <mergeCell ref="B25:C25"/>
    <mergeCell ref="A28:D28"/>
    <mergeCell ref="B14:C14"/>
    <mergeCell ref="B15:C15"/>
    <mergeCell ref="B16:C16"/>
    <mergeCell ref="B17:C17"/>
    <mergeCell ref="B18:C18"/>
    <mergeCell ref="B19:C19"/>
    <mergeCell ref="B20:C20"/>
  </mergeCells>
  <conditionalFormatting sqref="D10:D26">
    <cfRule type="notContainsBlanks" dxfId="0" priority="1">
      <formula>LEN(TRIM(D10))&gt;0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5" t="s">
        <v>120</v>
      </c>
      <c r="W1" s="3"/>
      <c r="X1" s="3"/>
      <c r="Y1" s="3"/>
      <c r="Z1" s="3"/>
    </row>
    <row r="2">
      <c r="A2" s="4" t="s">
        <v>12</v>
      </c>
      <c r="B2" s="4" t="s">
        <v>6</v>
      </c>
      <c r="D2" s="4" t="s">
        <v>48</v>
      </c>
      <c r="W2" s="3"/>
      <c r="X2" s="3"/>
      <c r="Y2" s="3"/>
      <c r="Z2" s="3"/>
    </row>
    <row r="3">
      <c r="A3" s="6">
        <v>25740.0</v>
      </c>
      <c r="B3" s="3" t="s">
        <v>67</v>
      </c>
      <c r="D3" s="3" t="s">
        <v>126</v>
      </c>
      <c r="W3" s="3"/>
      <c r="X3" s="3"/>
      <c r="Y3" s="3"/>
      <c r="Z3" s="3"/>
    </row>
    <row r="4">
      <c r="A4" s="21">
        <v>8500.0</v>
      </c>
      <c r="B4" s="3" t="s">
        <v>127</v>
      </c>
      <c r="D4" s="18" t="s">
        <v>126</v>
      </c>
      <c r="W4" s="3"/>
      <c r="X4" s="3"/>
      <c r="Y4" s="3"/>
      <c r="Z4" s="3"/>
    </row>
    <row r="5">
      <c r="A5" s="21">
        <v>5000.0</v>
      </c>
      <c r="B5" s="3" t="s">
        <v>54</v>
      </c>
      <c r="D5" s="18" t="s">
        <v>126</v>
      </c>
      <c r="W5" s="3"/>
      <c r="X5" s="3"/>
      <c r="Y5" s="3"/>
      <c r="Z5" s="3"/>
    </row>
    <row r="6">
      <c r="A6" s="21">
        <v>2000.0</v>
      </c>
      <c r="B6" s="9" t="s">
        <v>130</v>
      </c>
      <c r="D6" s="11" t="s">
        <v>59</v>
      </c>
      <c r="W6" s="3"/>
      <c r="X6" s="3"/>
      <c r="Y6" s="3"/>
      <c r="Z6" s="3"/>
    </row>
    <row r="7">
      <c r="A7" s="21">
        <v>2500.0</v>
      </c>
      <c r="B7" s="9" t="s">
        <v>133</v>
      </c>
      <c r="D7" s="11" t="s">
        <v>61</v>
      </c>
      <c r="W7" s="3"/>
      <c r="X7" s="3"/>
      <c r="Y7" s="3"/>
      <c r="Z7" s="3"/>
    </row>
    <row r="8">
      <c r="A8" s="21">
        <v>5600.0</v>
      </c>
      <c r="B8" s="9" t="s">
        <v>134</v>
      </c>
      <c r="D8" s="18" t="s">
        <v>136</v>
      </c>
      <c r="W8" s="3"/>
      <c r="X8" s="3"/>
      <c r="Y8" s="3"/>
      <c r="Z8" s="3"/>
    </row>
    <row r="9">
      <c r="A9" s="21">
        <v>316.0</v>
      </c>
      <c r="B9" s="9" t="s">
        <v>137</v>
      </c>
      <c r="D9" s="18" t="s">
        <v>61</v>
      </c>
      <c r="W9" s="3"/>
      <c r="X9" s="3"/>
      <c r="Y9" s="3"/>
      <c r="Z9" s="3"/>
    </row>
    <row r="10">
      <c r="A10" s="21">
        <v>1170.0</v>
      </c>
      <c r="B10" s="3" t="s">
        <v>70</v>
      </c>
      <c r="D10" s="18" t="s">
        <v>61</v>
      </c>
      <c r="W10" s="3"/>
      <c r="X10" s="3"/>
      <c r="Y10" s="3"/>
      <c r="Z10" s="3"/>
    </row>
    <row r="11">
      <c r="A11" s="21">
        <v>2200.0</v>
      </c>
      <c r="B11" s="9" t="s">
        <v>139</v>
      </c>
      <c r="D11" s="18" t="s">
        <v>61</v>
      </c>
      <c r="W11" s="3"/>
      <c r="X11" s="3"/>
      <c r="Y11" s="3"/>
      <c r="Z11" s="3"/>
    </row>
    <row r="12">
      <c r="A12" s="21"/>
      <c r="B12" s="3" t="s">
        <v>141</v>
      </c>
      <c r="D12" s="18" t="s">
        <v>143</v>
      </c>
      <c r="W12" s="3"/>
      <c r="X12" s="3"/>
      <c r="Y12" s="3"/>
      <c r="Z12" s="3"/>
    </row>
    <row r="13">
      <c r="A13" s="21">
        <v>2897.0</v>
      </c>
      <c r="B13" s="3" t="s">
        <v>146</v>
      </c>
      <c r="D13" s="18" t="s">
        <v>143</v>
      </c>
      <c r="W13" s="3"/>
      <c r="X13" s="3"/>
      <c r="Y13" s="3"/>
      <c r="Z13" s="3"/>
    </row>
    <row r="14">
      <c r="A14" s="21">
        <v>7500.0</v>
      </c>
      <c r="B14" s="9" t="s">
        <v>147</v>
      </c>
      <c r="D14" s="47" t="s">
        <v>143</v>
      </c>
      <c r="W14" s="3"/>
      <c r="X14" s="3"/>
      <c r="Y14" s="3"/>
      <c r="Z14" s="3"/>
    </row>
    <row r="15">
      <c r="A15" s="21">
        <v>1735.0</v>
      </c>
      <c r="B15" s="9" t="s">
        <v>148</v>
      </c>
      <c r="D15" s="18" t="s">
        <v>61</v>
      </c>
      <c r="W15" s="3"/>
      <c r="X15" s="3"/>
      <c r="Y15" s="3"/>
      <c r="Z15" s="3"/>
    </row>
    <row r="16">
      <c r="A16" s="21">
        <v>841.0</v>
      </c>
      <c r="B16" s="3" t="s">
        <v>99</v>
      </c>
      <c r="D16" s="18" t="s">
        <v>143</v>
      </c>
      <c r="W16" s="3"/>
      <c r="X16" s="3"/>
      <c r="Y16" s="3"/>
      <c r="Z16" s="3"/>
    </row>
    <row r="17">
      <c r="A17" s="51">
        <f>SUM(A3:A16)</f>
        <v>65999</v>
      </c>
      <c r="B17" s="3"/>
      <c r="D17" s="11"/>
      <c r="W17" s="3"/>
      <c r="X17" s="3"/>
      <c r="Y17" s="3"/>
      <c r="Z17" s="3"/>
    </row>
    <row r="18">
      <c r="C18" s="6">
        <v>99968.0</v>
      </c>
      <c r="D18" s="52" t="s">
        <v>150</v>
      </c>
      <c r="W18" s="3"/>
      <c r="X18" s="3"/>
      <c r="Y18" s="3"/>
      <c r="Z18" s="3"/>
    </row>
    <row r="19">
      <c r="C19" s="9">
        <v>800.0</v>
      </c>
      <c r="D19" s="52" t="s">
        <v>151</v>
      </c>
      <c r="W19" s="3"/>
      <c r="X19" s="3"/>
      <c r="Y19" s="3"/>
      <c r="Z19" s="3"/>
    </row>
    <row r="20">
      <c r="C20" s="52">
        <v>-300.0</v>
      </c>
      <c r="D20" s="52" t="s">
        <v>152</v>
      </c>
      <c r="W20" s="3"/>
      <c r="X20" s="3"/>
      <c r="Y20" s="3"/>
      <c r="Z20" s="3"/>
    </row>
    <row r="21">
      <c r="C21" s="53">
        <f>SUM(C18:C20)</f>
        <v>100468</v>
      </c>
      <c r="W21" s="3"/>
      <c r="X21" s="3"/>
      <c r="Y21" s="3"/>
      <c r="Z21" s="3"/>
    </row>
    <row r="22">
      <c r="W22" s="3"/>
      <c r="X22" s="3"/>
      <c r="Y22" s="3"/>
      <c r="Z22" s="3"/>
    </row>
    <row r="23">
      <c r="W23" s="3"/>
      <c r="X23" s="3"/>
      <c r="Y23" s="3"/>
      <c r="Z23" s="3"/>
    </row>
    <row r="24">
      <c r="C24" s="54">
        <f>C21-A17</f>
        <v>34469</v>
      </c>
      <c r="D24" s="9" t="s">
        <v>153</v>
      </c>
      <c r="W24" s="3"/>
      <c r="X24" s="3"/>
      <c r="Y24" s="3"/>
      <c r="Z24" s="3"/>
    </row>
    <row r="25">
      <c r="W25" s="3"/>
      <c r="X25" s="3"/>
      <c r="Y25" s="3"/>
      <c r="Z25" s="3"/>
    </row>
    <row r="26">
      <c r="W26" s="3"/>
      <c r="X26" s="3"/>
      <c r="Y26" s="3"/>
      <c r="Z26" s="3"/>
    </row>
    <row r="27">
      <c r="W27" s="3"/>
      <c r="X27" s="3"/>
      <c r="Y27" s="3"/>
      <c r="Z27" s="3"/>
    </row>
    <row r="28">
      <c r="W28" s="3"/>
      <c r="X28" s="3"/>
      <c r="Y28" s="3"/>
      <c r="Z28" s="3"/>
    </row>
    <row r="29">
      <c r="W29" s="3"/>
      <c r="X29" s="3"/>
      <c r="Y29" s="3"/>
      <c r="Z29" s="3"/>
    </row>
    <row r="30">
      <c r="W30" s="3"/>
      <c r="X30" s="3"/>
      <c r="Y30" s="3"/>
      <c r="Z30" s="3"/>
    </row>
    <row r="31">
      <c r="W31" s="3"/>
      <c r="X31" s="3"/>
      <c r="Y31" s="3"/>
      <c r="Z31" s="3"/>
    </row>
    <row r="32">
      <c r="D32" s="52"/>
      <c r="W32" s="3"/>
      <c r="X32" s="3"/>
      <c r="Y32" s="3"/>
      <c r="Z32" s="3"/>
    </row>
  </sheetData>
  <mergeCells count="17">
    <mergeCell ref="B1:C1"/>
    <mergeCell ref="B2:C2"/>
    <mergeCell ref="B3:C3"/>
    <mergeCell ref="B4:C4"/>
    <mergeCell ref="B5:C5"/>
    <mergeCell ref="B6:C6"/>
    <mergeCell ref="B7:C7"/>
    <mergeCell ref="B15:C15"/>
    <mergeCell ref="B16:C16"/>
    <mergeCell ref="B17:C17"/>
    <mergeCell ref="B8:C8"/>
    <mergeCell ref="B9:C9"/>
    <mergeCell ref="B10:C10"/>
    <mergeCell ref="B11:C11"/>
    <mergeCell ref="B12:C12"/>
    <mergeCell ref="B13:C13"/>
    <mergeCell ref="B14:C14"/>
  </mergeCells>
  <conditionalFormatting sqref="D3:D25">
    <cfRule type="notContainsBlanks" dxfId="0" priority="1">
      <formula>LEN(TRIM(D3))&gt;0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7" t="s">
        <v>154</v>
      </c>
      <c r="B1" s="17" t="s">
        <v>6</v>
      </c>
      <c r="C1" s="17" t="s">
        <v>13</v>
      </c>
    </row>
    <row r="2">
      <c r="A2" s="17" t="s">
        <v>155</v>
      </c>
      <c r="B2" s="52" t="s">
        <v>156</v>
      </c>
      <c r="C2" s="52">
        <v>1000.0</v>
      </c>
    </row>
    <row r="3">
      <c r="A3" s="17" t="s">
        <v>28</v>
      </c>
      <c r="C3" s="52">
        <v>0.0</v>
      </c>
    </row>
    <row r="4">
      <c r="A4" s="17" t="s">
        <v>157</v>
      </c>
      <c r="B4" s="17" t="s">
        <v>158</v>
      </c>
      <c r="C4" s="52">
        <v>1900.0</v>
      </c>
    </row>
    <row r="5">
      <c r="A5" s="17" t="s">
        <v>159</v>
      </c>
      <c r="B5" s="17" t="s">
        <v>160</v>
      </c>
      <c r="C5" s="52" t="s">
        <v>161</v>
      </c>
    </row>
    <row r="6">
      <c r="B6" s="17" t="s">
        <v>162</v>
      </c>
      <c r="C6" s="52" t="s">
        <v>161</v>
      </c>
    </row>
    <row r="7">
      <c r="B7" s="17" t="s">
        <v>163</v>
      </c>
      <c r="C7" s="52" t="s">
        <v>161</v>
      </c>
    </row>
    <row r="8">
      <c r="A8" s="17" t="s">
        <v>164</v>
      </c>
      <c r="B8" s="17" t="s">
        <v>165</v>
      </c>
      <c r="C8" s="52" t="s">
        <v>161</v>
      </c>
    </row>
    <row r="9">
      <c r="B9" s="17" t="s">
        <v>166</v>
      </c>
      <c r="C9" s="52" t="s">
        <v>161</v>
      </c>
    </row>
    <row r="10">
      <c r="B10" s="17" t="s">
        <v>167</v>
      </c>
    </row>
    <row r="21">
      <c r="Q21" s="5"/>
      <c r="R21" s="5"/>
      <c r="S21" s="5"/>
      <c r="T21" s="5"/>
      <c r="U21" s="5"/>
      <c r="V21" s="5"/>
      <c r="W21" s="17"/>
      <c r="X21" s="3"/>
      <c r="Y21" s="6"/>
      <c r="Z21" s="17"/>
    </row>
    <row r="22">
      <c r="Q22" s="5"/>
      <c r="R22" s="5"/>
      <c r="S22" s="5"/>
      <c r="T22" s="5"/>
      <c r="U22" s="5"/>
      <c r="V22" s="5"/>
      <c r="W22" s="5"/>
      <c r="X22" s="5"/>
      <c r="Y22" s="6"/>
      <c r="Z22" s="3"/>
    </row>
    <row r="23">
      <c r="Q23" s="5"/>
      <c r="R23" s="5"/>
      <c r="S23" s="5"/>
      <c r="T23" s="5"/>
      <c r="U23" s="5"/>
      <c r="V23" s="5"/>
      <c r="W23" s="3"/>
      <c r="X23" s="3"/>
      <c r="Y23" s="6"/>
      <c r="Z23" s="3"/>
    </row>
    <row r="24">
      <c r="Q24" s="5"/>
      <c r="R24" s="5"/>
      <c r="S24" s="5"/>
      <c r="T24" s="5"/>
      <c r="U24" s="5"/>
      <c r="V24" s="5"/>
      <c r="W24" s="5"/>
      <c r="X24" s="5"/>
      <c r="Y24" s="3"/>
      <c r="Z24" s="3"/>
    </row>
    <row r="25">
      <c r="Q25" s="5"/>
      <c r="R25" s="5"/>
      <c r="S25" s="5"/>
      <c r="T25" s="5"/>
      <c r="U25" s="5"/>
      <c r="V25" s="5"/>
      <c r="W25" s="5"/>
    </row>
    <row r="26"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Q27" s="5"/>
      <c r="R27" s="5"/>
      <c r="S27" s="5"/>
      <c r="T27" s="5"/>
      <c r="U27" s="5"/>
      <c r="V27" s="5"/>
    </row>
    <row r="28">
      <c r="Q28" s="5"/>
      <c r="R28" s="5"/>
      <c r="S28" s="5"/>
      <c r="T28" s="5"/>
      <c r="U28" s="5"/>
      <c r="V28" s="5"/>
    </row>
    <row r="29">
      <c r="Q29" s="5"/>
      <c r="R29" s="5"/>
      <c r="S29" s="5"/>
      <c r="T29" s="5"/>
      <c r="U29" s="5"/>
      <c r="V29" s="5"/>
    </row>
    <row r="30">
      <c r="Q30" s="5"/>
      <c r="R30" s="5"/>
      <c r="S30" s="5"/>
      <c r="T30" s="5"/>
      <c r="U30" s="5"/>
      <c r="V30" s="5"/>
    </row>
    <row r="31">
      <c r="Q31" s="5"/>
      <c r="R31" s="5"/>
      <c r="S31" s="5"/>
      <c r="T31" s="5"/>
      <c r="U31" s="5"/>
      <c r="V31" s="5"/>
    </row>
    <row r="32">
      <c r="Q32" s="5"/>
      <c r="R32" s="5"/>
      <c r="S32" s="5"/>
      <c r="T32" s="5"/>
      <c r="U32" s="5"/>
      <c r="V32" s="5"/>
    </row>
    <row r="33">
      <c r="Q33" s="5"/>
      <c r="R33" s="5"/>
      <c r="S33" s="5"/>
      <c r="T33" s="5"/>
      <c r="U33" s="5"/>
      <c r="V33" s="5"/>
    </row>
    <row r="38">
      <c r="W38" s="5"/>
      <c r="X38" s="3"/>
      <c r="Y38" s="9"/>
      <c r="Z38" s="3"/>
    </row>
    <row r="39">
      <c r="W39" s="5"/>
      <c r="X39" s="3"/>
      <c r="Y39" s="9"/>
      <c r="Z39" s="3"/>
    </row>
    <row r="41">
      <c r="W41" s="5"/>
      <c r="X41" s="5"/>
      <c r="Y41" s="5"/>
      <c r="Z41" s="5"/>
    </row>
    <row r="42">
      <c r="W42" s="5"/>
      <c r="X42" s="5"/>
      <c r="Y42" s="5"/>
      <c r="Z42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168</v>
      </c>
      <c r="E1" s="4" t="s">
        <v>169</v>
      </c>
    </row>
    <row r="2">
      <c r="A2" s="1" t="s">
        <v>6</v>
      </c>
      <c r="B2" s="1" t="s">
        <v>14</v>
      </c>
      <c r="C2" s="1" t="s">
        <v>17</v>
      </c>
      <c r="D2" s="1" t="s">
        <v>19</v>
      </c>
      <c r="E2" s="2" t="s">
        <v>170</v>
      </c>
      <c r="F2" s="55">
        <f>7000*1.18</f>
        <v>8260</v>
      </c>
    </row>
    <row r="3">
      <c r="A3" s="2" t="s">
        <v>25</v>
      </c>
      <c r="B3" s="13">
        <f>27+7+81</f>
        <v>115</v>
      </c>
      <c r="C3" s="13">
        <v>100.0</v>
      </c>
      <c r="D3" s="24">
        <f t="shared" ref="D3:D6" si="1">B3*C3</f>
        <v>11500</v>
      </c>
      <c r="E3" s="2" t="s">
        <v>171</v>
      </c>
      <c r="F3" s="55">
        <f>2500*1.18</f>
        <v>2950</v>
      </c>
    </row>
    <row r="4">
      <c r="A4" s="2" t="s">
        <v>57</v>
      </c>
      <c r="B4" s="13">
        <v>58.0</v>
      </c>
      <c r="C4" s="13">
        <v>110.0</v>
      </c>
      <c r="D4" s="24">
        <f t="shared" si="1"/>
        <v>6380</v>
      </c>
      <c r="E4" s="2" t="s">
        <v>89</v>
      </c>
      <c r="F4" s="55">
        <v>1500.0</v>
      </c>
    </row>
    <row r="5">
      <c r="A5" s="2" t="s">
        <v>69</v>
      </c>
      <c r="B5" s="13">
        <f>76+10</f>
        <v>86</v>
      </c>
      <c r="C5" s="13">
        <v>120.0</v>
      </c>
      <c r="D5" s="24">
        <f t="shared" si="1"/>
        <v>10320</v>
      </c>
      <c r="E5" s="13" t="s">
        <v>172</v>
      </c>
      <c r="F5" s="55">
        <v>70.0</v>
      </c>
    </row>
    <row r="6">
      <c r="A6" s="3" t="s">
        <v>74</v>
      </c>
      <c r="B6" s="13"/>
      <c r="C6" s="13"/>
      <c r="D6" s="24">
        <f t="shared" si="1"/>
        <v>0</v>
      </c>
      <c r="E6" s="2" t="s">
        <v>99</v>
      </c>
      <c r="F6" s="55">
        <v>250.0</v>
      </c>
    </row>
    <row r="7">
      <c r="A7" s="2" t="s">
        <v>80</v>
      </c>
      <c r="B7" s="13"/>
      <c r="C7" s="13"/>
      <c r="D7" s="24">
        <f>90</f>
        <v>90</v>
      </c>
      <c r="E7" s="13" t="s">
        <v>173</v>
      </c>
      <c r="F7" s="55">
        <v>200.0</v>
      </c>
    </row>
    <row r="8">
      <c r="A8" s="19"/>
      <c r="B8" s="13">
        <f>SUM(B3:B7)</f>
        <v>259</v>
      </c>
      <c r="C8" s="13">
        <f>SUM(D3:D7)/SUM(B3:B7)</f>
        <v>109.2277992</v>
      </c>
      <c r="E8" s="3" t="s">
        <v>174</v>
      </c>
      <c r="F8" s="56">
        <v>1000.0</v>
      </c>
    </row>
    <row r="9">
      <c r="A9" s="2" t="s">
        <v>86</v>
      </c>
      <c r="B9" s="19"/>
      <c r="C9" s="2"/>
      <c r="E9" s="9" t="s">
        <v>175</v>
      </c>
      <c r="F9" s="57">
        <v>300.0</v>
      </c>
    </row>
    <row r="10">
      <c r="D10" s="46">
        <f>SUM(D3:D5)</f>
        <v>28200</v>
      </c>
    </row>
    <row r="11">
      <c r="D11" s="58">
        <f>0.95*D10</f>
        <v>26790</v>
      </c>
      <c r="E11" s="59" t="s">
        <v>176</v>
      </c>
      <c r="F11" s="58">
        <f>SUM(F2:F9)</f>
        <v>14530</v>
      </c>
    </row>
    <row r="12">
      <c r="D12" s="60">
        <f>SUM(D3:D7)</f>
        <v>28290</v>
      </c>
      <c r="E12" s="3" t="s">
        <v>177</v>
      </c>
      <c r="F12" s="58">
        <f>0.1*F11</f>
        <v>1453</v>
      </c>
    </row>
    <row r="13">
      <c r="D13" s="61">
        <v>1.0</v>
      </c>
      <c r="E13" s="3" t="s">
        <v>178</v>
      </c>
      <c r="F13" s="58">
        <f>F11+F12</f>
        <v>15983</v>
      </c>
    </row>
    <row r="15">
      <c r="D15" s="62">
        <f>D12*D13-F11</f>
        <v>13760</v>
      </c>
      <c r="E15" s="63" t="s">
        <v>179</v>
      </c>
      <c r="G15" s="4"/>
      <c r="H15" s="4"/>
    </row>
  </sheetData>
  <mergeCells count="2">
    <mergeCell ref="B1:D1"/>
    <mergeCell ref="E1:F1"/>
  </mergeCells>
  <conditionalFormatting sqref="H32:H33">
    <cfRule type="notContainsBlanks" dxfId="0" priority="1">
      <formula>LEN(TRIM(H32))&gt;0</formula>
    </cfRule>
  </conditionalFormatting>
  <drawing r:id="rId1"/>
</worksheet>
</file>