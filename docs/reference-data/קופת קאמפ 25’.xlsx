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סיכום כללי" sheetId="1" r:id="rId5"/>
    <sheet state="visible" name="תקציב קאמפ ברן 26" sheetId="2" r:id="rId6"/>
    <sheet state="visible" name="House of trance 270925" sheetId="3" r:id="rId7"/>
    <sheet state="visible" name="Halloween Underground 311025" sheetId="4" r:id="rId8"/>
    <sheet state="visible" name="תקציב רחבה ברן 25" sheetId="5" r:id="rId9"/>
    <sheet state="visible" name="תקציב קאמפ ברן 25" sheetId="6" r:id="rId10"/>
  </sheets>
  <definedNames/>
  <calcPr/>
</workbook>
</file>

<file path=xl/sharedStrings.xml><?xml version="1.0" encoding="utf-8"?>
<sst xmlns="http://schemas.openxmlformats.org/spreadsheetml/2006/main" count="331" uniqueCount="206">
  <si>
    <t>תאריך</t>
  </si>
  <si>
    <t>הוצאות</t>
  </si>
  <si>
    <t>פירוט הוצאה</t>
  </si>
  <si>
    <t>הכנסות</t>
  </si>
  <si>
    <t>עלויות</t>
  </si>
  <si>
    <t>פירוט/תיאור תנועה</t>
  </si>
  <si>
    <t>מיקום</t>
  </si>
  <si>
    <t>סכום</t>
  </si>
  <si>
    <t>סה״כ תשלום</t>
  </si>
  <si>
    <t>סוג הוצאה</t>
  </si>
  <si>
    <t>כמות יחידות</t>
  </si>
  <si>
    <t>עלות ליחידה</t>
  </si>
  <si>
    <t>עלות כוללת</t>
  </si>
  <si>
    <t>שירותים נסורת</t>
  </si>
  <si>
    <t>מעבר לקובץ חדש</t>
  </si>
  <si>
    <t>תיאור</t>
  </si>
  <si>
    <t>Vibez</t>
  </si>
  <si>
    <t>קופת מזומן</t>
  </si>
  <si>
    <t>מערכת לפינטו</t>
  </si>
  <si>
    <t>תרומה אבישי פרץ</t>
  </si>
  <si>
    <t>וייבז קלוז פרינדס</t>
  </si>
  <si>
    <t>ביט</t>
  </si>
  <si>
    <t>מכולה אוג 25-26</t>
  </si>
  <si>
    <t xml:space="preserve">גנרטורים + פלטה </t>
  </si>
  <si>
    <t>עו״ש אופק</t>
  </si>
  <si>
    <t>פייבוקס</t>
  </si>
  <si>
    <t>דלק גנרטורים + החזרי נסיעות</t>
  </si>
  <si>
    <t>מזומן</t>
  </si>
  <si>
    <t>פתיחת אירוע</t>
  </si>
  <si>
    <t>תקציב ברן 25׳ בפועל</t>
  </si>
  <si>
    <t>גיפטינג</t>
  </si>
  <si>
    <t xml:space="preserve"> פינוי שירותים</t>
  </si>
  <si>
    <t>מקדמה במה ברן 25</t>
  </si>
  <si>
    <t>סה״כ</t>
  </si>
  <si>
    <t>ציוד היגיינה</t>
  </si>
  <si>
    <t>תוספת של 70 ש״ח</t>
  </si>
  <si>
    <t>מיכל מים לבנים + מתאם ברז</t>
  </si>
  <si>
    <t>רווח מסיבה נמל</t>
  </si>
  <si>
    <t>אומנים לברן</t>
  </si>
  <si>
    <t>תקציב ברן 25׳ צפי לעליית מחיר</t>
  </si>
  <si>
    <t>מיכל מים אפורים</t>
  </si>
  <si>
    <t>חצי שני למייצג נטלי</t>
  </si>
  <si>
    <t>מברגה לקאמפ</t>
  </si>
  <si>
    <t xml:space="preserve">תקציב ברן 25 - צריך לקנות ב100-200 שקלים משומש מגעיל </t>
  </si>
  <si>
    <t>בר</t>
  </si>
  <si>
    <t>מילוי מי שתייה</t>
  </si>
  <si>
    <t>תוספת מיכל למקלחות</t>
  </si>
  <si>
    <t>פינוי מים אפורים</t>
  </si>
  <si>
    <t>מסיבת האלווין 30/10</t>
  </si>
  <si>
    <t>תוספת מיכל פינויים</t>
  </si>
  <si>
    <t>מקלחות</t>
  </si>
  <si>
    <t>תוספת 900 שקלים לטובת תאים טובים יותר</t>
  </si>
  <si>
    <t>ציוד משלים למקלחת</t>
  </si>
  <si>
    <t>תוספת 400 שקלים לטובת נוחות מקסימלית</t>
  </si>
  <si>
    <t>חשמל לקאמפ</t>
  </si>
  <si>
    <t>12,000kw</t>
  </si>
  <si>
    <t>תוספת של עוד 3KWH לטובת חשמל לכל המחנה לכל מה שנצטרך</t>
  </si>
  <si>
    <t>הובלה</t>
  </si>
  <si>
    <t>מכולה</t>
  </si>
  <si>
    <t>תוספת של 2000 שקלים - הובלת מכולה יקרה יותר</t>
  </si>
  <si>
    <t>באלות</t>
  </si>
  <si>
    <t>ירידה של 150 שקלים - יש ספיירים משנת 25׳</t>
  </si>
  <si>
    <t>אוכל</t>
  </si>
  <si>
    <t>תפריט שלם לשבוע</t>
  </si>
  <si>
    <t xml:space="preserve">תוספת של 1,000 שקלים - לחיזוק ושיפור ושפע </t>
  </si>
  <si>
    <t>ציוד מטבח - כירת גז + מיחם</t>
  </si>
  <si>
    <t>סיכום</t>
  </si>
  <si>
    <t xml:space="preserve">עוד כירת גז או כלי בישול טובים </t>
  </si>
  <si>
    <t>מילוי גז</t>
  </si>
  <si>
    <t>מילוי בלון 12 ק״ג</t>
  </si>
  <si>
    <t>מקרר + מקפיא</t>
  </si>
  <si>
    <t>מקרר תעשייתי</t>
  </si>
  <si>
    <t>מקרר חדש תעשייתי שוכב עם מדפים, נוח יותר מהמקרר קוקה קולה</t>
  </si>
  <si>
    <t>קרח</t>
  </si>
  <si>
    <t xml:space="preserve">תקציב ברן 25׳, תלוי אם הברן יהיה בחורף או קיץ ישתנה </t>
  </si>
  <si>
    <t>צילייה מחנה</t>
  </si>
  <si>
    <t>ירידה של 100 מ״ר = ירידה של 1500 ש״ח</t>
  </si>
  <si>
    <t>גידור מחנה</t>
  </si>
  <si>
    <t>ירידה של 50 מ״ר =ירידה של 700 ש״ח</t>
  </si>
  <si>
    <t>הובלה צילייה</t>
  </si>
  <si>
    <t xml:space="preserve">עלות שקועה </t>
  </si>
  <si>
    <t>פינויי חשל״ש</t>
  </si>
  <si>
    <t>כמו ברן 25׳ לא שילמנו כלום !!!</t>
  </si>
  <si>
    <t>100 ק״ג עצים + תוספת אחסנה</t>
  </si>
  <si>
    <t>ירידה של 1000 ש״ח - תקלה של לקיחת עצים שלא שלנו בברן 25׳</t>
  </si>
  <si>
    <t>גנרטור</t>
  </si>
  <si>
    <t>קונים עוד אחד - לקאמפ ולגיפט</t>
  </si>
  <si>
    <t>30 מ׳ לייקרה+ 50 מ׳ בד זול גידור מחנה ונגרר רחבה</t>
  </si>
  <si>
    <t>תוספת של 230 ש״ח - עוד גידור וקישוט המחנה</t>
  </si>
  <si>
    <t>יעד גיוס UniBurn</t>
  </si>
  <si>
    <t>תקציב הפתעות דק׳ 90</t>
  </si>
  <si>
    <t>10% תקציב</t>
  </si>
  <si>
    <t>פירוט</t>
  </si>
  <si>
    <t>חוב</t>
  </si>
  <si>
    <t>לאדם</t>
  </si>
  <si>
    <t>גודל מחנה</t>
  </si>
  <si>
    <t>תיקון ותחזוק מייצג</t>
  </si>
  <si>
    <t>תקציב מחנה</t>
  </si>
  <si>
    <t>חשמל רחבה</t>
  </si>
  <si>
    <t>יעד גיוס</t>
  </si>
  <si>
    <t>הגברה</t>
  </si>
  <si>
    <t>תאורה לייזרים</t>
  </si>
  <si>
    <t>השכרת מקרן הקרנות</t>
  </si>
  <si>
    <t>שידרוג מחנה</t>
  </si>
  <si>
    <t>תוספת הוצאות מייצג</t>
  </si>
  <si>
    <t>אחראי</t>
  </si>
  <si>
    <t>מחיר</t>
  </si>
  <si>
    <t>מייצג</t>
  </si>
  <si>
    <t>ראנצ׳ו ונטלי</t>
  </si>
  <si>
    <t>שולם</t>
  </si>
  <si>
    <t>שעות סטודיו</t>
  </si>
  <si>
    <t>חשמל</t>
  </si>
  <si>
    <t>אופק</t>
  </si>
  <si>
    <t>21kwh</t>
  </si>
  <si>
    <t>הגברה + תאורה</t>
  </si>
  <si>
    <t>עמי</t>
  </si>
  <si>
    <t>מקדחים</t>
  </si>
  <si>
    <t>ברגים 4/11</t>
  </si>
  <si>
    <t>שידאפו</t>
  </si>
  <si>
    <t>ברגים 27/10</t>
  </si>
  <si>
    <t>בדים לעטיפת רמקולים פלוס נגרר</t>
  </si>
  <si>
    <t>צבעים שפי 26/10</t>
  </si>
  <si>
    <t>פנסי שטיפה מVocal</t>
  </si>
  <si>
    <t>אלפר צבעים</t>
  </si>
  <si>
    <t>שתייה קלה טירה (קולה+זירו+אקסל</t>
  </si>
  <si>
    <t>עלי אקספרס</t>
  </si>
  <si>
    <t>אלכוהול אומנים</t>
  </si>
  <si>
    <t>כפפות חד״פ</t>
  </si>
  <si>
    <t>ארט קאר</t>
  </si>
  <si>
    <t>גיפטינג אומנים</t>
  </si>
  <si>
    <t>קונטרולר ירין</t>
  </si>
  <si>
    <t>מנורות גרילנה</t>
  </si>
  <si>
    <t>נשאר לשלם לרחבה</t>
  </si>
  <si>
    <t>פטיש גומי</t>
  </si>
  <si>
    <t>הפתעות ראנצו מייצג</t>
  </si>
  <si>
    <t xml:space="preserve">מחשב </t>
  </si>
  <si>
    <t>מזומן/אשראי</t>
  </si>
  <si>
    <t>קופת קאמפ</t>
  </si>
  <si>
    <t xml:space="preserve">להכין מזומן לשלם </t>
  </si>
  <si>
    <t>הפתעות</t>
  </si>
  <si>
    <t>ספריי, דבק, ברגים, ניילון נצמד, ביטים</t>
  </si>
  <si>
    <t>הלוואה</t>
  </si>
  <si>
    <t>ספריי צבעים אלפר</t>
  </si>
  <si>
    <t>כן</t>
  </si>
  <si>
    <t>כבל מקרן</t>
  </si>
  <si>
    <t>צבע לבן תיקונים</t>
  </si>
  <si>
    <t>צפי להחזרי מע״מ</t>
  </si>
  <si>
    <t>חשמל קאמפ</t>
  </si>
  <si>
    <t>ברגים לילה לבן</t>
  </si>
  <si>
    <t>אלפר הוצאת מקרן</t>
  </si>
  <si>
    <t>אורי שולם</t>
  </si>
  <si>
    <t xml:space="preserve">שווארמה הקמות </t>
  </si>
  <si>
    <t>הגברה+כרטיסים עזריאל ועדי</t>
  </si>
  <si>
    <t>מפצל HDMI</t>
  </si>
  <si>
    <t>עבודה אקסטרה נטלי</t>
  </si>
  <si>
    <t>ברגים רן</t>
  </si>
  <si>
    <t>לטם שולם</t>
  </si>
  <si>
    <t>דלק לטם</t>
  </si>
  <si>
    <t>ברגים שימי</t>
  </si>
  <si>
    <t>אשראי</t>
  </si>
  <si>
    <t>חצי הצללה</t>
  </si>
  <si>
    <t>זכוכית מקרן אלפר</t>
  </si>
  <si>
    <t>אופק שולם</t>
  </si>
  <si>
    <t>מים שישיות חלוץ</t>
  </si>
  <si>
    <t>סה״כ מע״מ מזוכה</t>
  </si>
  <si>
    <t>מקס סטוק השלמות</t>
  </si>
  <si>
    <t>פטיש 5  + פטיש גומי גדול</t>
  </si>
  <si>
    <t>תומר גולן שולם</t>
  </si>
  <si>
    <t>נגרר שני rentagrar</t>
  </si>
  <si>
    <t>כבל מקרן עובד</t>
  </si>
  <si>
    <t xml:space="preserve">גלידה נטלי </t>
  </si>
  <si>
    <t>תוספות</t>
  </si>
  <si>
    <t>טלי שולם</t>
  </si>
  <si>
    <t>אוכל חלוץ</t>
  </si>
  <si>
    <t>שימי שולם</t>
  </si>
  <si>
    <t>השלמות מקלחת סלון וכו</t>
  </si>
  <si>
    <t>חשמל ירין</t>
  </si>
  <si>
    <t>כבל הקרנות דניאל ענבר</t>
  </si>
  <si>
    <t>מפצל אלפר</t>
  </si>
  <si>
    <t>תמונת מזכרת לנטלי</t>
  </si>
  <si>
    <t>מקפיא באיחסון נוסף</t>
  </si>
  <si>
    <t>דולב זבל במחסן</t>
  </si>
  <si>
    <t>9,000kw</t>
  </si>
  <si>
    <t>איתן שולם</t>
  </si>
  <si>
    <t>מפצל</t>
  </si>
  <si>
    <t>משאית הלוך חזור</t>
  </si>
  <si>
    <t>יובי שולם</t>
  </si>
  <si>
    <t>גרילנדות ומנורות</t>
  </si>
  <si>
    <t xml:space="preserve">החזרי נסיעה עגלה </t>
  </si>
  <si>
    <t>מטפי כיבוי אש</t>
  </si>
  <si>
    <t>תקציב כלל חברי מחנה</t>
  </si>
  <si>
    <t>חריגים</t>
  </si>
  <si>
    <t xml:space="preserve">עזריאל </t>
  </si>
  <si>
    <t>מקפיא</t>
  </si>
  <si>
    <t>עדי</t>
  </si>
  <si>
    <t>דניאל פינטו</t>
  </si>
  <si>
    <t>יתרה לתשלום</t>
  </si>
  <si>
    <t>דנה שרון</t>
  </si>
  <si>
    <t>עמירם דהן</t>
  </si>
  <si>
    <t>במזומן</t>
  </si>
  <si>
    <t>רגילים</t>
  </si>
  <si>
    <t>סולם 5 מ׳</t>
  </si>
  <si>
    <t>טמבוריה גייר (חבל,שקי חול, 2 מפצלים, 2ראצ׳טים)</t>
  </si>
  <si>
    <t>לא</t>
  </si>
  <si>
    <t>יוסף</t>
  </si>
  <si>
    <t>נשאר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</si>
</sst>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[$ ₪]#,##0.00"/>
    <numFmt numFmtId="166" formatCode="[$ ₪]#,##0.0"/>
    <numFmt numFmtId="167" formatCode="d/m/yyyy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  <font>
      <sz val="8.0"/>
      <color theme="1"/>
      <name val="Arial"/>
    </font>
    <font>
      <color rgb="FFFFFFFF"/>
      <name val="Arial"/>
      <scheme val="minor"/>
    </font>
    <font>
      <b/>
      <color theme="1"/>
      <name val="Arial"/>
      <scheme val="minor"/>
    </font>
    <font>
      <b/>
      <color rgb="FF0000FF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4A86E8"/>
        <bgColor rgb="FF4A86E8"/>
      </patternFill>
    </fill>
    <fill>
      <patternFill patternType="solid">
        <fgColor rgb="FF6AA84F"/>
        <bgColor rgb="FF6AA84F"/>
      </patternFill>
    </fill>
    <fill>
      <patternFill patternType="solid">
        <fgColor rgb="FF00FFFF"/>
        <bgColor rgb="FF00FFFF"/>
      </patternFill>
    </fill>
    <fill>
      <patternFill patternType="solid">
        <fgColor rgb="FFE06666"/>
        <bgColor rgb="FFE06666"/>
      </patternFill>
    </fill>
    <fill>
      <patternFill patternType="solid">
        <fgColor rgb="FFB6D7A8"/>
        <bgColor rgb="FFB6D7A8"/>
      </patternFill>
    </fill>
  </fills>
  <borders count="1">
    <border/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0" fontId="2" numFmtId="0" xfId="0" applyAlignment="1" applyFont="1">
      <alignment horizontal="center" vertical="bottom"/>
    </xf>
    <xf borderId="0" fillId="0" fontId="1" numFmtId="164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165" xfId="0" applyAlignment="1" applyFont="1" applyNumberFormat="1">
      <alignment horizontal="center"/>
    </xf>
    <xf borderId="0" fillId="0" fontId="1" numFmtId="165" xfId="0" applyAlignment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 readingOrder="0" vertical="bottom"/>
    </xf>
    <xf borderId="0" fillId="0" fontId="1" numFmtId="164" xfId="0" applyAlignment="1" applyFont="1" applyNumberFormat="1">
      <alignment readingOrder="0"/>
    </xf>
    <xf borderId="0" fillId="0" fontId="3" numFmtId="0" xfId="0" applyAlignment="1" applyFont="1">
      <alignment horizontal="center" readingOrder="0" vertical="bottom"/>
    </xf>
    <xf borderId="0" fillId="0" fontId="1" numFmtId="165" xfId="0" applyAlignment="1" applyFont="1" applyNumberFormat="1">
      <alignment readingOrder="0"/>
    </xf>
    <xf borderId="0" fillId="0" fontId="1" numFmtId="0" xfId="0" applyAlignment="1" applyFont="1">
      <alignment horizontal="center" readingOrder="0"/>
    </xf>
    <xf borderId="0" fillId="0" fontId="3" numFmtId="166" xfId="0" applyAlignment="1" applyFont="1" applyNumberFormat="1">
      <alignment horizontal="center" readingOrder="0" vertical="bottom"/>
    </xf>
    <xf borderId="0" fillId="0" fontId="1" numFmtId="3" xfId="0" applyAlignment="1" applyFont="1" applyNumberFormat="1">
      <alignment horizontal="center" readingOrder="0"/>
    </xf>
    <xf borderId="0" fillId="0" fontId="1" numFmtId="165" xfId="0" applyAlignment="1" applyFont="1" applyNumberFormat="1">
      <alignment horizontal="center" readingOrder="0"/>
    </xf>
    <xf borderId="0" fillId="0" fontId="1" numFmtId="165" xfId="0" applyAlignment="1" applyFont="1" applyNumberFormat="1">
      <alignment horizontal="center" readingOrder="0"/>
    </xf>
    <xf borderId="0" fillId="0" fontId="1" numFmtId="165" xfId="0" applyAlignment="1" applyFont="1" applyNumberFormat="1">
      <alignment horizontal="center"/>
    </xf>
    <xf borderId="0" fillId="0" fontId="3" numFmtId="166" xfId="0" applyAlignment="1" applyFont="1" applyNumberFormat="1">
      <alignment horizontal="center" vertical="bottom"/>
    </xf>
    <xf borderId="0" fillId="4" fontId="1" numFmtId="0" xfId="0" applyAlignment="1" applyFill="1" applyFont="1">
      <alignment readingOrder="0"/>
    </xf>
    <xf borderId="0" fillId="0" fontId="3" numFmtId="0" xfId="0" applyAlignment="1" applyFont="1">
      <alignment horizontal="center" vertical="bottom"/>
    </xf>
    <xf borderId="0" fillId="0" fontId="1" numFmtId="165" xfId="0" applyFont="1" applyNumberFormat="1"/>
    <xf borderId="0" fillId="0" fontId="1" numFmtId="167" xfId="0" applyAlignment="1" applyFont="1" applyNumberFormat="1">
      <alignment horizontal="center" readingOrder="0"/>
    </xf>
    <xf borderId="0" fillId="0" fontId="1" numFmtId="3" xfId="0" applyAlignment="1" applyFont="1" applyNumberFormat="1">
      <alignment horizontal="center"/>
    </xf>
    <xf borderId="0" fillId="0" fontId="1" numFmtId="165" xfId="0" applyAlignment="1" applyFont="1" applyNumberFormat="1">
      <alignment horizontal="center" readingOrder="0"/>
    </xf>
    <xf borderId="0" fillId="0" fontId="4" numFmtId="0" xfId="0" applyAlignment="1" applyFont="1">
      <alignment horizontal="center" vertical="bottom"/>
    </xf>
    <xf borderId="0" fillId="0" fontId="1" numFmtId="165" xfId="0" applyFont="1" applyNumberFormat="1"/>
    <xf borderId="0" fillId="5" fontId="5" numFmtId="3" xfId="0" applyAlignment="1" applyFill="1" applyFont="1" applyNumberFormat="1">
      <alignment horizontal="center"/>
    </xf>
    <xf borderId="0" fillId="0" fontId="3" numFmtId="0" xfId="0" applyAlignment="1" applyFont="1">
      <alignment readingOrder="0" vertical="bottom"/>
    </xf>
    <xf borderId="0" fillId="0" fontId="6" numFmtId="0" xfId="0" applyAlignment="1" applyFont="1">
      <alignment horizontal="center" readingOrder="0"/>
    </xf>
    <xf borderId="0" fillId="2" fontId="7" numFmtId="165" xfId="0" applyAlignment="1" applyFill="1" applyFont="1" applyNumberFormat="1">
      <alignment horizontal="center"/>
    </xf>
    <xf borderId="0" fillId="3" fontId="7" numFmtId="165" xfId="0" applyAlignment="1" applyFill="1" applyFont="1" applyNumberFormat="1">
      <alignment horizontal="center"/>
    </xf>
    <xf borderId="0" fillId="6" fontId="7" numFmtId="165" xfId="0" applyAlignment="1" applyFill="1" applyFont="1" applyNumberFormat="1">
      <alignment horizontal="center"/>
    </xf>
    <xf borderId="0" fillId="0" fontId="1" numFmtId="166" xfId="0" applyAlignment="1" applyFont="1" applyNumberFormat="1">
      <alignment horizontal="center" readingOrder="0"/>
    </xf>
    <xf borderId="0" fillId="0" fontId="1" numFmtId="166" xfId="0" applyAlignment="1" applyFont="1" applyNumberFormat="1">
      <alignment horizontal="center"/>
    </xf>
    <xf borderId="0" fillId="7" fontId="2" numFmtId="165" xfId="0" applyAlignment="1" applyFill="1" applyFont="1" applyNumberFormat="1">
      <alignment horizontal="center" vertical="bottom"/>
    </xf>
    <xf borderId="0" fillId="0" fontId="1" numFmtId="3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3" fontId="1" numFmtId="165" xfId="0" applyFill="1" applyFont="1" applyNumberFormat="1"/>
    <xf borderId="0" fillId="3" fontId="1" numFmtId="3" xfId="0" applyAlignment="1" applyFill="1" applyFont="1" applyNumberFormat="1">
      <alignment readingOrder="0"/>
    </xf>
    <xf borderId="0" fillId="0" fontId="1" numFmtId="3" xfId="0" applyFont="1" applyNumberFormat="1"/>
    <xf borderId="0" fillId="5" fontId="1" numFmtId="165" xfId="0" applyAlignment="1" applyFill="1" applyFont="1" applyNumberFormat="1">
      <alignment readingOrder="0"/>
    </xf>
    <xf borderId="0" fillId="5" fontId="1" numFmtId="165" xfId="0" applyFill="1" applyFont="1" applyNumberFormat="1"/>
    <xf borderId="0" fillId="7" fontId="1" numFmtId="165" xfId="0" applyFill="1" applyFont="1" applyNumberFormat="1"/>
    <xf borderId="0" fillId="0" fontId="2" numFmtId="0" xfId="0" applyAlignment="1" applyFont="1">
      <alignment horizontal="center" readingOrder="0" vertical="bottom"/>
    </xf>
    <xf borderId="0" fillId="0" fontId="3" numFmtId="0" xfId="0" applyAlignment="1" applyFont="1">
      <alignment vertical="bottom"/>
    </xf>
    <xf borderId="0" fillId="0" fontId="6" numFmtId="0" xfId="0" applyAlignment="1" applyFont="1">
      <alignment readingOrder="0"/>
    </xf>
    <xf borderId="0" fillId="5" fontId="1" numFmtId="165" xfId="0" applyFill="1" applyFont="1" applyNumberFormat="1"/>
    <xf borderId="0" fillId="0" fontId="0" numFmtId="0" xfId="0" applyAlignment="1" applyFont="1">
      <alignment readingOrder="0" shrinkToFit="0" wrapText="1"/>
    </xf>
    <xf borderId="0" fillId="0" fontId="3" numFmtId="0" xfId="0" applyAlignment="1" applyFont="1">
      <alignment readingOrder="0" vertical="bottom"/>
    </xf>
    <xf borderId="0" fillId="0" fontId="3" numFmtId="165" xfId="0" applyAlignment="1" applyFont="1" applyNumberFormat="1">
      <alignment horizontal="center" vertical="bottom"/>
    </xf>
    <xf borderId="0" fillId="5" fontId="1" numFmtId="0" xfId="0" applyAlignment="1" applyFill="1" applyFont="1">
      <alignment readingOrder="0"/>
    </xf>
    <xf borderId="0" fillId="5" fontId="1" numFmtId="0" xfId="0" applyFill="1" applyFont="1"/>
    <xf borderId="0" fillId="0" fontId="1" numFmtId="165" xfId="0" applyAlignment="1" applyFont="1" applyNumberFormat="1">
      <alignment readingOrder="0"/>
    </xf>
    <xf borderId="0" fillId="3" fontId="3" numFmtId="0" xfId="0" applyAlignment="1" applyFill="1" applyFont="1">
      <alignment readingOrder="0" vertical="bottom"/>
    </xf>
    <xf borderId="0" fillId="3" fontId="3" numFmtId="166" xfId="0" applyAlignment="1" applyFill="1" applyFont="1" applyNumberFormat="1">
      <alignment readingOrder="0" vertical="bottom"/>
    </xf>
    <xf borderId="0" fillId="0" fontId="1" numFmtId="0" xfId="0" applyFont="1"/>
    <xf borderId="0" fillId="0" fontId="1" numFmtId="166" xfId="0" applyFont="1" applyNumberFormat="1"/>
    <xf borderId="0" fillId="8" fontId="1" numFmtId="165" xfId="0" applyFill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C1130"/>
    <outlinePr summaryBelow="0" summaryRight="0"/>
  </sheetPr>
  <sheetViews>
    <sheetView rightToLeft="1" workbookViewId="0"/>
  </sheetViews>
  <sheetFormatPr customHeight="1" defaultColWidth="12.63" defaultRowHeight="15.75"/>
  <cols>
    <col customWidth="1" min="4" max="4" width="15.13"/>
  </cols>
  <sheetData>
    <row r="1">
      <c r="A1" s="1" t="s">
        <v>0</v>
      </c>
      <c r="B1" s="2" t="s">
        <v>1</v>
      </c>
      <c r="C1" s="3" t="s">
        <v>3</v>
      </c>
      <c r="D1" s="1" t="s">
        <v>5</v>
      </c>
      <c r="G1" s="1" t="s">
        <v>0</v>
      </c>
      <c r="H1" s="1" t="s">
        <v>6</v>
      </c>
      <c r="I1" s="1" t="s">
        <v>7</v>
      </c>
      <c r="K1" s="1"/>
    </row>
    <row r="2">
      <c r="A2" s="5">
        <v>45797.0</v>
      </c>
      <c r="B2" s="7"/>
      <c r="C2" s="8">
        <v>44647.0</v>
      </c>
      <c r="D2" s="6" t="s">
        <v>14</v>
      </c>
      <c r="G2" s="11">
        <v>45940.0</v>
      </c>
      <c r="H2" s="1" t="s">
        <v>17</v>
      </c>
      <c r="I2" s="13">
        <v>1584.0</v>
      </c>
      <c r="K2" s="1"/>
      <c r="L2" s="1"/>
      <c r="M2" s="1"/>
      <c r="N2" s="1"/>
    </row>
    <row r="3">
      <c r="A3" s="5">
        <v>45818.0</v>
      </c>
      <c r="B3" s="17">
        <v>200.0</v>
      </c>
      <c r="C3" s="7"/>
      <c r="D3" s="14" t="s">
        <v>19</v>
      </c>
      <c r="G3" s="11">
        <v>45797.0</v>
      </c>
      <c r="H3" s="1" t="s">
        <v>20</v>
      </c>
      <c r="I3" s="13">
        <v>28520.0</v>
      </c>
      <c r="K3" s="1"/>
    </row>
    <row r="4">
      <c r="A4" s="5">
        <v>45870.0</v>
      </c>
      <c r="B4" s="17">
        <v>8850.0</v>
      </c>
      <c r="C4" s="7"/>
      <c r="D4" s="14" t="s">
        <v>22</v>
      </c>
      <c r="G4" s="11">
        <v>45797.0</v>
      </c>
      <c r="H4" s="1" t="s">
        <v>24</v>
      </c>
      <c r="I4" s="23">
        <f>D38-I3-I2</f>
        <v>14079.55</v>
      </c>
      <c r="K4" s="1"/>
    </row>
    <row r="5">
      <c r="A5" s="5">
        <v>45870.0</v>
      </c>
      <c r="B5" s="17">
        <v>20660.0</v>
      </c>
      <c r="C5" s="7"/>
      <c r="D5" s="14" t="s">
        <v>32</v>
      </c>
      <c r="K5" s="1"/>
    </row>
    <row r="6">
      <c r="A6" s="5">
        <v>45927.0</v>
      </c>
      <c r="B6" s="7"/>
      <c r="C6" s="17">
        <f>'House of trance 270925'!C7</f>
        <v>34646.55</v>
      </c>
      <c r="D6" s="14" t="s">
        <v>37</v>
      </c>
      <c r="K6" s="1"/>
    </row>
    <row r="7">
      <c r="A7" s="24">
        <v>45946.0</v>
      </c>
      <c r="B7" s="17">
        <v>20660.0</v>
      </c>
      <c r="C7" s="7"/>
      <c r="D7" s="14" t="s">
        <v>41</v>
      </c>
      <c r="K7" s="1"/>
    </row>
    <row r="8">
      <c r="A8" s="24">
        <v>45946.0</v>
      </c>
      <c r="B8" s="17">
        <v>400.0</v>
      </c>
      <c r="C8" s="7"/>
      <c r="D8" s="6" t="s">
        <v>42</v>
      </c>
      <c r="K8" s="1"/>
    </row>
    <row r="9">
      <c r="A9" s="24">
        <v>45960.0</v>
      </c>
      <c r="B9" s="7"/>
      <c r="C9" s="17">
        <f>'Halloween Underground 311025'!C7</f>
        <v>15660</v>
      </c>
      <c r="D9" s="14" t="s">
        <v>48</v>
      </c>
      <c r="K9" s="1"/>
    </row>
    <row r="10">
      <c r="A10" s="9"/>
      <c r="B10" s="7"/>
      <c r="C10" s="7"/>
      <c r="D10" s="9"/>
    </row>
    <row r="11">
      <c r="A11" s="9"/>
      <c r="B11" s="7"/>
      <c r="C11" s="7"/>
      <c r="D11" s="9"/>
      <c r="K11" s="1"/>
    </row>
    <row r="12">
      <c r="A12" s="9"/>
      <c r="B12" s="7"/>
      <c r="C12" s="7"/>
      <c r="D12" s="9"/>
    </row>
    <row r="13">
      <c r="A13" s="9"/>
      <c r="B13" s="7"/>
      <c r="C13" s="7"/>
      <c r="D13" s="9"/>
      <c r="G13" s="28"/>
      <c r="K13" s="1"/>
    </row>
    <row r="14">
      <c r="A14" s="9"/>
      <c r="B14" s="7"/>
      <c r="C14" s="7"/>
      <c r="D14" s="6"/>
    </row>
    <row r="15">
      <c r="A15" s="9"/>
      <c r="B15" s="7"/>
      <c r="C15" s="7"/>
      <c r="D15" s="6"/>
    </row>
    <row r="16">
      <c r="A16" s="9"/>
      <c r="B16" s="7"/>
      <c r="C16" s="7"/>
      <c r="D16" s="9"/>
    </row>
    <row r="17">
      <c r="A17" s="9"/>
      <c r="B17" s="7"/>
      <c r="C17" s="7"/>
      <c r="D17" s="9"/>
      <c r="K17" s="1"/>
    </row>
    <row r="18">
      <c r="A18" s="9"/>
      <c r="B18" s="7"/>
      <c r="C18" s="7"/>
      <c r="D18" s="9"/>
    </row>
    <row r="19">
      <c r="A19" s="9"/>
      <c r="B19" s="7"/>
      <c r="C19" s="7"/>
      <c r="D19" s="9"/>
    </row>
    <row r="20">
      <c r="A20" s="9"/>
      <c r="B20" s="7"/>
      <c r="C20" s="7"/>
      <c r="D20" s="9"/>
    </row>
    <row r="21">
      <c r="A21" s="9"/>
      <c r="B21" s="7"/>
      <c r="C21" s="7"/>
      <c r="D21" s="9"/>
    </row>
    <row r="22">
      <c r="A22" s="9"/>
      <c r="B22" s="7"/>
      <c r="C22" s="7"/>
      <c r="D22" s="9"/>
    </row>
    <row r="23">
      <c r="A23" s="9"/>
      <c r="B23" s="7"/>
      <c r="C23" s="7"/>
      <c r="D23" s="9"/>
    </row>
    <row r="24">
      <c r="A24" s="9"/>
      <c r="B24" s="7"/>
      <c r="C24" s="7"/>
      <c r="D24" s="9"/>
    </row>
    <row r="25">
      <c r="A25" s="9"/>
      <c r="B25" s="7"/>
      <c r="C25" s="7"/>
      <c r="D25" s="9"/>
    </row>
    <row r="26">
      <c r="A26" s="9"/>
      <c r="B26" s="7"/>
      <c r="C26" s="7"/>
      <c r="D26" s="9"/>
    </row>
    <row r="27">
      <c r="A27" s="9"/>
      <c r="B27" s="7"/>
      <c r="C27" s="7"/>
      <c r="D27" s="9"/>
    </row>
    <row r="28">
      <c r="A28" s="9"/>
      <c r="B28" s="7"/>
      <c r="C28" s="7"/>
      <c r="D28" s="9"/>
    </row>
    <row r="29">
      <c r="A29" s="9"/>
      <c r="B29" s="7"/>
      <c r="C29" s="7"/>
      <c r="D29" s="9"/>
    </row>
    <row r="30">
      <c r="A30" s="9"/>
      <c r="B30" s="7"/>
      <c r="C30" s="7"/>
      <c r="D30" s="9"/>
    </row>
    <row r="31">
      <c r="A31" s="9"/>
      <c r="B31" s="7"/>
      <c r="C31" s="7"/>
      <c r="D31" s="9"/>
    </row>
    <row r="32">
      <c r="A32" s="9"/>
      <c r="B32" s="7"/>
      <c r="C32" s="7"/>
      <c r="D32" s="9"/>
    </row>
    <row r="33">
      <c r="A33" s="9"/>
      <c r="B33" s="7"/>
      <c r="C33" s="7"/>
      <c r="D33" s="9"/>
    </row>
    <row r="34">
      <c r="A34" s="9"/>
      <c r="B34" s="7"/>
      <c r="C34" s="7"/>
      <c r="D34" s="9"/>
    </row>
    <row r="35">
      <c r="A35" s="9"/>
      <c r="B35" s="7"/>
      <c r="C35" s="7"/>
      <c r="D35" s="9"/>
    </row>
    <row r="36">
      <c r="A36" s="9"/>
      <c r="B36" s="7"/>
      <c r="C36" s="7"/>
      <c r="D36" s="9"/>
    </row>
    <row r="37">
      <c r="A37" s="9"/>
      <c r="B37" s="7"/>
      <c r="C37" s="7"/>
      <c r="D37" s="9"/>
    </row>
    <row r="38">
      <c r="A38" s="6" t="s">
        <v>66</v>
      </c>
      <c r="B38" s="32">
        <f t="shared" ref="B38:C38" si="1">SUM(B2:B37)</f>
        <v>50770</v>
      </c>
      <c r="C38" s="33">
        <f t="shared" si="1"/>
        <v>94953.55</v>
      </c>
      <c r="D38" s="34">
        <f>C38-B38</f>
        <v>44183.55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5" max="5" width="44.13"/>
  </cols>
  <sheetData>
    <row r="1">
      <c r="A1" s="4" t="s">
        <v>2</v>
      </c>
      <c r="C1" s="4" t="s">
        <v>8</v>
      </c>
    </row>
    <row r="2">
      <c r="A2" s="4" t="s">
        <v>9</v>
      </c>
      <c r="B2" s="4" t="s">
        <v>10</v>
      </c>
      <c r="C2" s="4" t="s">
        <v>11</v>
      </c>
      <c r="D2" s="4" t="s">
        <v>12</v>
      </c>
    </row>
    <row r="3">
      <c r="A3" s="10" t="s">
        <v>13</v>
      </c>
      <c r="B3" s="12">
        <v>5.0</v>
      </c>
      <c r="C3" s="15">
        <v>125.0</v>
      </c>
      <c r="D3" s="20">
        <f>B3*C3+1000</f>
        <v>1625</v>
      </c>
      <c r="E3" s="21" t="s">
        <v>29</v>
      </c>
    </row>
    <row r="4">
      <c r="A4" s="22" t="s">
        <v>31</v>
      </c>
      <c r="B4" s="12">
        <v>18.0</v>
      </c>
      <c r="C4" s="15">
        <v>125.0</v>
      </c>
      <c r="D4" s="20">
        <f t="shared" ref="D4:D11" si="1">B4*C4</f>
        <v>2250</v>
      </c>
      <c r="E4" s="21" t="s">
        <v>29</v>
      </c>
    </row>
    <row r="5">
      <c r="A5" s="22" t="s">
        <v>34</v>
      </c>
      <c r="B5" s="12">
        <v>1.0</v>
      </c>
      <c r="C5" s="15">
        <v>100.0</v>
      </c>
      <c r="D5" s="20">
        <f t="shared" si="1"/>
        <v>100</v>
      </c>
      <c r="E5" s="2" t="s">
        <v>35</v>
      </c>
    </row>
    <row r="6">
      <c r="A6" s="12" t="s">
        <v>36</v>
      </c>
      <c r="B6" s="12">
        <v>2.0</v>
      </c>
      <c r="C6" s="15">
        <v>1534.0</v>
      </c>
      <c r="D6" s="20">
        <f t="shared" si="1"/>
        <v>3068</v>
      </c>
      <c r="E6" s="2" t="s">
        <v>39</v>
      </c>
    </row>
    <row r="7">
      <c r="A7" s="22" t="s">
        <v>40</v>
      </c>
      <c r="B7" s="12">
        <v>1.0</v>
      </c>
      <c r="C7" s="15">
        <v>472.0</v>
      </c>
      <c r="D7" s="15">
        <f t="shared" si="1"/>
        <v>472</v>
      </c>
      <c r="E7" s="21" t="s">
        <v>43</v>
      </c>
    </row>
    <row r="8">
      <c r="A8" s="22" t="s">
        <v>45</v>
      </c>
      <c r="B8" s="12">
        <v>4.0</v>
      </c>
      <c r="C8" s="15">
        <v>590.0</v>
      </c>
      <c r="D8" s="20">
        <f t="shared" si="1"/>
        <v>2360</v>
      </c>
      <c r="E8" s="2" t="s">
        <v>46</v>
      </c>
    </row>
    <row r="9">
      <c r="A9" s="22" t="s">
        <v>47</v>
      </c>
      <c r="B9" s="12">
        <v>3.0</v>
      </c>
      <c r="C9" s="15">
        <v>708.0</v>
      </c>
      <c r="D9" s="20">
        <f t="shared" si="1"/>
        <v>2124</v>
      </c>
      <c r="E9" s="2" t="s">
        <v>49</v>
      </c>
    </row>
    <row r="10">
      <c r="A10" s="22" t="s">
        <v>50</v>
      </c>
      <c r="B10" s="22">
        <v>2.0</v>
      </c>
      <c r="C10" s="15">
        <v>500.0</v>
      </c>
      <c r="D10" s="20">
        <f t="shared" si="1"/>
        <v>1000</v>
      </c>
      <c r="E10" s="2" t="s">
        <v>51</v>
      </c>
    </row>
    <row r="11">
      <c r="A11" s="27" t="s">
        <v>52</v>
      </c>
      <c r="B11" s="12">
        <v>1.0</v>
      </c>
      <c r="C11" s="15">
        <v>500.0</v>
      </c>
      <c r="D11" s="20">
        <f t="shared" si="1"/>
        <v>500</v>
      </c>
      <c r="E11" s="2" t="s">
        <v>53</v>
      </c>
    </row>
    <row r="12">
      <c r="A12" s="22" t="s">
        <v>54</v>
      </c>
      <c r="B12" s="12" t="s">
        <v>55</v>
      </c>
      <c r="C12" s="15">
        <v>7500.0</v>
      </c>
      <c r="D12" s="15">
        <f t="shared" ref="D12:D13" si="2">C12</f>
        <v>7500</v>
      </c>
      <c r="E12" s="2" t="s">
        <v>56</v>
      </c>
    </row>
    <row r="13">
      <c r="A13" s="22" t="s">
        <v>57</v>
      </c>
      <c r="B13" s="10" t="s">
        <v>58</v>
      </c>
      <c r="C13" s="15">
        <v>6000.0</v>
      </c>
      <c r="D13" s="15">
        <f t="shared" si="2"/>
        <v>6000</v>
      </c>
      <c r="E13" s="2" t="s">
        <v>59</v>
      </c>
    </row>
    <row r="14">
      <c r="A14" s="10" t="s">
        <v>60</v>
      </c>
      <c r="B14" s="12">
        <v>20.0</v>
      </c>
      <c r="C14" s="15">
        <v>15.0</v>
      </c>
      <c r="D14" s="20">
        <f>B14*C14</f>
        <v>300</v>
      </c>
      <c r="E14" s="3" t="s">
        <v>61</v>
      </c>
    </row>
    <row r="15">
      <c r="A15" s="22" t="s">
        <v>62</v>
      </c>
      <c r="B15" s="22" t="s">
        <v>63</v>
      </c>
      <c r="C15" s="15">
        <v>9000.0</v>
      </c>
      <c r="D15" s="20">
        <f>C15</f>
        <v>9000</v>
      </c>
      <c r="E15" s="2" t="s">
        <v>64</v>
      </c>
    </row>
    <row r="16">
      <c r="A16" s="12" t="s">
        <v>65</v>
      </c>
      <c r="B16" s="12">
        <v>1.0</v>
      </c>
      <c r="C16" s="15">
        <v>850.0</v>
      </c>
      <c r="D16" s="15">
        <f>B16*C16+80</f>
        <v>930</v>
      </c>
      <c r="E16" s="2" t="s">
        <v>67</v>
      </c>
    </row>
    <row r="17">
      <c r="A17" s="12" t="s">
        <v>68</v>
      </c>
      <c r="B17" s="30">
        <v>1.0</v>
      </c>
      <c r="C17" s="15">
        <v>200.0</v>
      </c>
      <c r="D17" s="15">
        <v>200.0</v>
      </c>
      <c r="E17" s="21" t="s">
        <v>69</v>
      </c>
    </row>
    <row r="18">
      <c r="A18" s="22" t="s">
        <v>70</v>
      </c>
      <c r="B18" s="10" t="s">
        <v>71</v>
      </c>
      <c r="C18" s="20"/>
      <c r="D18" s="15">
        <v>1000.0</v>
      </c>
      <c r="E18" s="2" t="s">
        <v>72</v>
      </c>
    </row>
    <row r="19">
      <c r="A19" s="22" t="s">
        <v>73</v>
      </c>
      <c r="B19" s="10">
        <f>D19/C19</f>
        <v>38</v>
      </c>
      <c r="C19" s="15">
        <v>30.0</v>
      </c>
      <c r="D19" s="20">
        <f>150+150+180+360+300</f>
        <v>1140</v>
      </c>
      <c r="E19" s="21" t="s">
        <v>74</v>
      </c>
    </row>
    <row r="20">
      <c r="A20" s="22" t="s">
        <v>75</v>
      </c>
      <c r="B20" s="12">
        <v>600.0</v>
      </c>
      <c r="C20" s="15">
        <v>14.0</v>
      </c>
      <c r="D20" s="20">
        <f>((B20*C20)/2)*1.18+((B20*C20)/2)</f>
        <v>9156</v>
      </c>
      <c r="E20" s="3" t="s">
        <v>76</v>
      </c>
    </row>
    <row r="21">
      <c r="A21" s="22" t="s">
        <v>77</v>
      </c>
      <c r="B21" s="22">
        <f>(30*2+20*2)*2.5</f>
        <v>250</v>
      </c>
      <c r="C21" s="15">
        <v>14.0</v>
      </c>
      <c r="D21" s="20">
        <f t="shared" ref="D21:D25" si="3">B21*C21</f>
        <v>3500</v>
      </c>
      <c r="E21" s="3" t="s">
        <v>78</v>
      </c>
    </row>
    <row r="22">
      <c r="A22" s="1" t="s">
        <v>79</v>
      </c>
      <c r="B22" s="14">
        <v>1.0</v>
      </c>
      <c r="C22" s="35">
        <v>500.0</v>
      </c>
      <c r="D22" s="36">
        <f t="shared" si="3"/>
        <v>500</v>
      </c>
      <c r="E22" s="21" t="s">
        <v>80</v>
      </c>
    </row>
    <row r="23">
      <c r="A23" s="22" t="s">
        <v>81</v>
      </c>
      <c r="B23" s="12">
        <v>0.0</v>
      </c>
      <c r="C23" s="20">
        <v>220.0</v>
      </c>
      <c r="D23" s="20">
        <f t="shared" si="3"/>
        <v>0</v>
      </c>
      <c r="E23" s="21" t="s">
        <v>82</v>
      </c>
    </row>
    <row r="24">
      <c r="A24" s="6" t="s">
        <v>83</v>
      </c>
      <c r="B24" s="14">
        <v>1.0</v>
      </c>
      <c r="C24" s="35">
        <v>500.0</v>
      </c>
      <c r="D24" s="35">
        <f t="shared" si="3"/>
        <v>500</v>
      </c>
      <c r="E24" s="3" t="s">
        <v>84</v>
      </c>
    </row>
    <row r="25">
      <c r="A25" s="1" t="s">
        <v>85</v>
      </c>
      <c r="B25" s="14">
        <v>1.0</v>
      </c>
      <c r="C25" s="35">
        <v>2200.0</v>
      </c>
      <c r="D25" s="36">
        <f t="shared" si="3"/>
        <v>2200</v>
      </c>
      <c r="E25" s="2" t="s">
        <v>86</v>
      </c>
    </row>
    <row r="26">
      <c r="A26" s="1" t="s">
        <v>87</v>
      </c>
      <c r="B26" s="14">
        <v>1.0</v>
      </c>
      <c r="C26" s="35">
        <v>800.0</v>
      </c>
      <c r="D26" s="35">
        <v>800.0</v>
      </c>
      <c r="E26" s="2" t="s">
        <v>88</v>
      </c>
    </row>
    <row r="29">
      <c r="E29" s="1" t="s">
        <v>89</v>
      </c>
    </row>
    <row r="30">
      <c r="A30" s="22" t="s">
        <v>90</v>
      </c>
      <c r="B30" s="10" t="s">
        <v>91</v>
      </c>
      <c r="C30" s="15">
        <f>0.1*SUM(D3:D26)</f>
        <v>5622.5</v>
      </c>
      <c r="D30" s="15">
        <f>C30</f>
        <v>5622.5</v>
      </c>
      <c r="E30" s="1" t="s">
        <v>92</v>
      </c>
      <c r="F30" s="1" t="s">
        <v>7</v>
      </c>
    </row>
    <row r="31">
      <c r="C31" s="22" t="s">
        <v>33</v>
      </c>
      <c r="D31" s="37">
        <f>SUM(D3:D30)</f>
        <v>61847.5</v>
      </c>
      <c r="E31" s="1" t="s">
        <v>93</v>
      </c>
      <c r="F31" s="38">
        <v>15000.0</v>
      </c>
    </row>
    <row r="32">
      <c r="B32" s="1" t="s">
        <v>94</v>
      </c>
      <c r="C32" s="1" t="s">
        <v>95</v>
      </c>
      <c r="E32" s="1" t="s">
        <v>96</v>
      </c>
      <c r="F32" s="38">
        <v>15000.0</v>
      </c>
    </row>
    <row r="33">
      <c r="A33" s="1" t="s">
        <v>97</v>
      </c>
      <c r="B33" s="13">
        <v>1200.0</v>
      </c>
      <c r="C33" s="39">
        <v>40.0</v>
      </c>
      <c r="D33" s="28">
        <f>B33*C33</f>
        <v>48000</v>
      </c>
      <c r="E33" s="1" t="s">
        <v>98</v>
      </c>
      <c r="F33" s="38">
        <v>16000.0</v>
      </c>
    </row>
    <row r="34">
      <c r="A34" s="1" t="s">
        <v>99</v>
      </c>
      <c r="D34" s="40">
        <f>D31-D33</f>
        <v>13847.5</v>
      </c>
      <c r="E34" s="1" t="s">
        <v>100</v>
      </c>
      <c r="F34" s="39">
        <v>35000.0</v>
      </c>
    </row>
    <row r="35">
      <c r="E35" s="1" t="s">
        <v>57</v>
      </c>
      <c r="F35" s="38">
        <v>4000.0</v>
      </c>
    </row>
    <row r="36">
      <c r="E36" s="1" t="s">
        <v>101</v>
      </c>
      <c r="F36" s="38">
        <v>20000.0</v>
      </c>
    </row>
    <row r="37">
      <c r="E37" s="1" t="s">
        <v>102</v>
      </c>
      <c r="F37" s="38">
        <v>15000.0</v>
      </c>
    </row>
    <row r="38">
      <c r="E38" s="1" t="s">
        <v>103</v>
      </c>
      <c r="F38" s="41">
        <v>15000.0</v>
      </c>
    </row>
    <row r="39">
      <c r="E39" s="1" t="s">
        <v>33</v>
      </c>
      <c r="F39" s="42">
        <f>SUM(F31:F38)</f>
        <v>135000</v>
      </c>
    </row>
  </sheetData>
  <mergeCells count="2">
    <mergeCell ref="A1:B1"/>
    <mergeCell ref="C1:D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sheetData>
    <row r="1">
      <c r="A1" s="6" t="s">
        <v>4</v>
      </c>
      <c r="B1" s="6"/>
      <c r="C1" s="6"/>
      <c r="D1" s="6" t="s">
        <v>3</v>
      </c>
      <c r="E1" s="9"/>
      <c r="F1" s="6"/>
      <c r="G1" s="6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6" t="s">
        <v>15</v>
      </c>
      <c r="B2" s="6" t="s">
        <v>7</v>
      </c>
      <c r="C2" s="9"/>
      <c r="D2" s="14" t="s">
        <v>16</v>
      </c>
      <c r="E2" s="16">
        <v>60300.0</v>
      </c>
      <c r="F2" s="6"/>
      <c r="G2" s="6"/>
      <c r="H2" s="6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14" t="s">
        <v>28</v>
      </c>
      <c r="B3" s="18">
        <v>16786.0</v>
      </c>
      <c r="C3" s="9"/>
      <c r="D3" s="14" t="s">
        <v>21</v>
      </c>
      <c r="E3" s="16">
        <v>1026.0</v>
      </c>
      <c r="F3" s="18"/>
      <c r="G3" s="1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6" t="s">
        <v>30</v>
      </c>
      <c r="B4" s="18">
        <f>340+40+15+40+50+129+105+105+75+75+108+70</f>
        <v>1152</v>
      </c>
      <c r="C4" s="9"/>
      <c r="D4" s="14" t="s">
        <v>27</v>
      </c>
      <c r="E4" s="16">
        <v>1200.0</v>
      </c>
      <c r="F4" s="18"/>
      <c r="G4" s="1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6" t="s">
        <v>38</v>
      </c>
      <c r="B5" s="9">
        <f>11*1370+7*70</f>
        <v>15560</v>
      </c>
      <c r="C5" s="9"/>
      <c r="D5" s="14" t="s">
        <v>44</v>
      </c>
      <c r="E5" s="9">
        <f>0.15*37457</f>
        <v>5618.55</v>
      </c>
      <c r="F5" s="18"/>
      <c r="G5" s="26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6" t="s">
        <v>33</v>
      </c>
      <c r="B6" s="19">
        <f>SUM(B3:B5)</f>
        <v>33498</v>
      </c>
      <c r="C6" s="9"/>
      <c r="D6" s="6"/>
      <c r="E6" s="25">
        <f>SUM(E2:E5)</f>
        <v>68144.55</v>
      </c>
      <c r="F6" s="18"/>
      <c r="G6" s="26"/>
      <c r="H6" s="6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6"/>
      <c r="B7" s="18"/>
      <c r="C7" s="29">
        <f>E6-B6</f>
        <v>34646.55</v>
      </c>
      <c r="D7" s="6"/>
      <c r="E7" s="9"/>
      <c r="F7" s="9"/>
      <c r="G7" s="1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C8" s="6"/>
      <c r="D8" s="9"/>
      <c r="E8" s="9"/>
      <c r="F8" s="6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6"/>
      <c r="B9" s="9"/>
      <c r="C9" s="6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9"/>
      <c r="B10" s="9"/>
      <c r="C10" s="9"/>
      <c r="D10" s="9"/>
      <c r="E10" s="9"/>
      <c r="F10" s="6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31"/>
      <c r="D12" s="31"/>
      <c r="G12" s="31"/>
      <c r="J12" s="31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16"/>
      <c r="B14" s="6"/>
      <c r="C14" s="19"/>
      <c r="D14" s="16"/>
      <c r="E14" s="6"/>
      <c r="F14" s="6"/>
      <c r="G14" s="16"/>
      <c r="H14" s="6"/>
      <c r="I14" s="9"/>
      <c r="J14" s="16"/>
      <c r="K14" s="6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9"/>
      <c r="B15" s="6"/>
      <c r="C15" s="9"/>
      <c r="D15" s="9"/>
      <c r="E15" s="6"/>
      <c r="F15" s="9"/>
      <c r="G15" s="9"/>
      <c r="H15" s="6"/>
      <c r="I15" s="9"/>
      <c r="J15" s="9"/>
      <c r="K15" s="6"/>
      <c r="L15" s="6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9"/>
      <c r="B16" s="6"/>
      <c r="C16" s="9"/>
      <c r="D16" s="9"/>
      <c r="E16" s="6"/>
      <c r="F16" s="6"/>
      <c r="G16" s="9"/>
      <c r="H16" s="6"/>
      <c r="I16" s="9"/>
      <c r="J16" s="9"/>
      <c r="K16" s="6"/>
      <c r="L16" s="6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6"/>
      <c r="B17" s="6"/>
      <c r="C17" s="9"/>
      <c r="D17" s="6"/>
      <c r="E17" s="6"/>
      <c r="F17" s="9"/>
      <c r="G17" s="6"/>
      <c r="H17" s="6"/>
      <c r="I17" s="9"/>
      <c r="J17" s="6"/>
      <c r="K17" s="6"/>
      <c r="L17" s="6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9"/>
      <c r="B18" s="6"/>
      <c r="C18" s="9"/>
      <c r="D18" s="9"/>
      <c r="E18" s="6"/>
      <c r="F18" s="6"/>
      <c r="G18" s="9"/>
      <c r="H18" s="6"/>
      <c r="I18" s="9"/>
      <c r="J18" s="9"/>
      <c r="K18" s="6"/>
      <c r="L18" s="6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9"/>
      <c r="B20" s="9"/>
      <c r="C20" s="9"/>
      <c r="D20" s="9"/>
      <c r="E20" s="9"/>
      <c r="F20" s="6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4">
    <mergeCell ref="A12:C12"/>
    <mergeCell ref="D12:F12"/>
    <mergeCell ref="G12:I12"/>
    <mergeCell ref="J12:L1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4</v>
      </c>
      <c r="B1" s="6"/>
      <c r="C1" s="6"/>
      <c r="D1" s="6" t="s">
        <v>3</v>
      </c>
      <c r="E1" s="9"/>
    </row>
    <row r="2">
      <c r="A2" s="6" t="s">
        <v>15</v>
      </c>
      <c r="B2" s="6" t="s">
        <v>7</v>
      </c>
      <c r="C2" s="9"/>
      <c r="D2" s="14" t="s">
        <v>16</v>
      </c>
      <c r="E2" s="16">
        <v>17800.0</v>
      </c>
    </row>
    <row r="3">
      <c r="A3" s="14" t="s">
        <v>18</v>
      </c>
      <c r="B3" s="18">
        <v>1500.0</v>
      </c>
      <c r="C3" s="9"/>
      <c r="D3" s="14" t="s">
        <v>21</v>
      </c>
      <c r="E3" s="16">
        <v>120.0</v>
      </c>
    </row>
    <row r="4">
      <c r="A4" s="14" t="s">
        <v>23</v>
      </c>
      <c r="B4" s="18">
        <v>1050.0</v>
      </c>
      <c r="C4" s="9"/>
      <c r="D4" s="14" t="s">
        <v>25</v>
      </c>
      <c r="E4" s="14">
        <v>240.0</v>
      </c>
    </row>
    <row r="5">
      <c r="A5" s="14" t="s">
        <v>26</v>
      </c>
      <c r="B5" s="14">
        <v>300.0</v>
      </c>
      <c r="C5" s="9"/>
      <c r="D5" s="14" t="s">
        <v>27</v>
      </c>
      <c r="E5" s="16">
        <f>250+100</f>
        <v>350</v>
      </c>
    </row>
    <row r="6">
      <c r="A6" s="6" t="s">
        <v>33</v>
      </c>
      <c r="B6" s="19">
        <f>SUM(B3:B5)</f>
        <v>2850</v>
      </c>
      <c r="C6" s="9"/>
      <c r="D6" s="14" t="s">
        <v>33</v>
      </c>
      <c r="E6" s="25">
        <f>SUM(E2:E5)</f>
        <v>18510</v>
      </c>
    </row>
    <row r="7">
      <c r="A7" s="6"/>
      <c r="B7" s="18"/>
      <c r="C7" s="29">
        <f>E6-B6</f>
        <v>15660</v>
      </c>
      <c r="D7" s="6"/>
      <c r="E7" s="9"/>
    </row>
    <row r="8">
      <c r="C8" s="6"/>
      <c r="D8" s="9"/>
      <c r="E8" s="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9" max="9" width="14.75"/>
  </cols>
  <sheetData>
    <row r="1">
      <c r="A1" s="31" t="s">
        <v>1</v>
      </c>
      <c r="F1" s="1" t="s">
        <v>104</v>
      </c>
      <c r="I1" s="1" t="s">
        <v>89</v>
      </c>
    </row>
    <row r="2">
      <c r="A2" s="1" t="s">
        <v>15</v>
      </c>
      <c r="B2" s="1" t="s">
        <v>7</v>
      </c>
      <c r="C2" s="1" t="s">
        <v>105</v>
      </c>
      <c r="F2" s="1" t="s">
        <v>92</v>
      </c>
      <c r="G2" s="1" t="s">
        <v>106</v>
      </c>
      <c r="I2" s="1" t="s">
        <v>92</v>
      </c>
      <c r="J2" s="1" t="s">
        <v>7</v>
      </c>
    </row>
    <row r="3">
      <c r="A3" s="1" t="s">
        <v>107</v>
      </c>
      <c r="B3" s="13">
        <f>35000*1.18</f>
        <v>41300</v>
      </c>
      <c r="C3" s="1" t="s">
        <v>108</v>
      </c>
      <c r="D3" s="1" t="s">
        <v>109</v>
      </c>
      <c r="F3" s="1" t="s">
        <v>110</v>
      </c>
      <c r="G3" s="43">
        <f>4560*1.18</f>
        <v>5380.8</v>
      </c>
      <c r="H3" s="13"/>
      <c r="I3" s="1" t="s">
        <v>93</v>
      </c>
      <c r="J3" s="38">
        <v>15000.0</v>
      </c>
    </row>
    <row r="4">
      <c r="A4" s="1" t="s">
        <v>111</v>
      </c>
      <c r="B4" s="28">
        <f>12950</f>
        <v>12950</v>
      </c>
      <c r="C4" s="1" t="s">
        <v>112</v>
      </c>
      <c r="D4" s="39" t="s">
        <v>113</v>
      </c>
      <c r="F4" s="1" t="s">
        <v>57</v>
      </c>
      <c r="G4" s="43">
        <v>1500.0</v>
      </c>
      <c r="H4" s="1"/>
      <c r="I4" s="1" t="s">
        <v>96</v>
      </c>
      <c r="J4" s="38">
        <v>15000.0</v>
      </c>
    </row>
    <row r="5">
      <c r="A5" s="1" t="s">
        <v>114</v>
      </c>
      <c r="B5" s="13">
        <f>28000+2*1370+70</f>
        <v>30810</v>
      </c>
      <c r="C5" s="1" t="s">
        <v>115</v>
      </c>
      <c r="F5" s="1" t="s">
        <v>116</v>
      </c>
      <c r="G5" s="43">
        <v>14.0</v>
      </c>
      <c r="I5" s="1" t="s">
        <v>98</v>
      </c>
      <c r="J5" s="38">
        <v>16000.0</v>
      </c>
    </row>
    <row r="6">
      <c r="A6" s="1" t="s">
        <v>57</v>
      </c>
      <c r="B6" s="13">
        <v>4000.0</v>
      </c>
      <c r="C6" s="1" t="s">
        <v>112</v>
      </c>
      <c r="F6" s="1" t="s">
        <v>117</v>
      </c>
      <c r="G6" s="43">
        <v>90.0</v>
      </c>
      <c r="I6" s="1" t="s">
        <v>100</v>
      </c>
      <c r="J6" s="39">
        <v>35000.0</v>
      </c>
    </row>
    <row r="7">
      <c r="A7" s="1" t="s">
        <v>118</v>
      </c>
      <c r="B7" s="28">
        <f>1370+70</f>
        <v>1440</v>
      </c>
      <c r="C7" s="1"/>
      <c r="F7" s="1" t="s">
        <v>119</v>
      </c>
      <c r="G7" s="44">
        <f>16+35</f>
        <v>51</v>
      </c>
      <c r="I7" s="1" t="s">
        <v>57</v>
      </c>
      <c r="J7" s="38">
        <v>4000.0</v>
      </c>
    </row>
    <row r="8">
      <c r="A8" s="1" t="s">
        <v>120</v>
      </c>
      <c r="B8" s="13">
        <v>570.0</v>
      </c>
      <c r="F8" s="1" t="s">
        <v>121</v>
      </c>
      <c r="G8" s="43">
        <v>325.0</v>
      </c>
      <c r="I8" s="1" t="s">
        <v>101</v>
      </c>
      <c r="J8" s="38">
        <v>20000.0</v>
      </c>
    </row>
    <row r="9">
      <c r="A9" s="1" t="s">
        <v>122</v>
      </c>
      <c r="B9" s="13">
        <v>800.0</v>
      </c>
      <c r="F9" s="1" t="s">
        <v>123</v>
      </c>
      <c r="G9" s="43">
        <v>315.0</v>
      </c>
      <c r="I9" s="1" t="s">
        <v>102</v>
      </c>
      <c r="J9" s="38">
        <v>15000.0</v>
      </c>
    </row>
    <row r="10">
      <c r="A10" s="1" t="s">
        <v>124</v>
      </c>
      <c r="B10" s="28">
        <f>35+35+70</f>
        <v>140</v>
      </c>
      <c r="F10" s="1" t="s">
        <v>125</v>
      </c>
      <c r="G10" s="43">
        <v>230.0</v>
      </c>
      <c r="I10" s="1" t="s">
        <v>103</v>
      </c>
      <c r="J10" s="38">
        <v>15000.0</v>
      </c>
    </row>
    <row r="11">
      <c r="A11" s="39" t="s">
        <v>126</v>
      </c>
      <c r="B11" s="39">
        <v>950.0</v>
      </c>
      <c r="F11" s="1" t="s">
        <v>127</v>
      </c>
      <c r="G11" s="43">
        <v>20.0</v>
      </c>
      <c r="I11" s="39" t="s">
        <v>128</v>
      </c>
      <c r="J11" s="39">
        <v>25000.0</v>
      </c>
    </row>
    <row r="12">
      <c r="A12" s="39" t="s">
        <v>129</v>
      </c>
      <c r="B12" s="39">
        <v>410.0</v>
      </c>
      <c r="F12" s="1" t="s">
        <v>130</v>
      </c>
      <c r="G12" s="43">
        <v>150.0</v>
      </c>
      <c r="I12" s="1" t="s">
        <v>33</v>
      </c>
      <c r="J12" s="42">
        <f>SUM(J3:J11)</f>
        <v>160000</v>
      </c>
    </row>
    <row r="13">
      <c r="A13" s="1" t="s">
        <v>33</v>
      </c>
      <c r="B13" s="28">
        <f>SUM(B4:B12)</f>
        <v>52070</v>
      </c>
      <c r="F13" s="1" t="s">
        <v>131</v>
      </c>
      <c r="G13" s="43">
        <v>35.0</v>
      </c>
    </row>
    <row r="14">
      <c r="A14" s="23">
        <f>'סיכום כללי'!D38-'סיכום כללי'!B4*1.18</f>
        <v>33740.55</v>
      </c>
      <c r="C14" s="1" t="s">
        <v>132</v>
      </c>
      <c r="D14" s="45">
        <f>B13</f>
        <v>52070</v>
      </c>
      <c r="F14" s="1" t="s">
        <v>133</v>
      </c>
      <c r="G14" s="43">
        <v>30.0</v>
      </c>
    </row>
    <row r="15">
      <c r="A15" s="13">
        <v>30000.0</v>
      </c>
      <c r="C15" s="1" t="s">
        <v>134</v>
      </c>
      <c r="D15" s="45">
        <f>G35</f>
        <v>11390.8</v>
      </c>
      <c r="F15" s="1" t="s">
        <v>135</v>
      </c>
      <c r="G15" s="43">
        <v>900.0</v>
      </c>
    </row>
    <row r="16">
      <c r="A16" s="23">
        <f>A14+A15</f>
        <v>63740.55</v>
      </c>
      <c r="C16" s="1" t="s">
        <v>137</v>
      </c>
      <c r="D16" s="49">
        <f t="shared" ref="D16:D17" si="1">A14</f>
        <v>33740.55</v>
      </c>
      <c r="F16" s="50" t="s">
        <v>140</v>
      </c>
      <c r="G16" s="43">
        <v>700.0</v>
      </c>
    </row>
    <row r="17">
      <c r="C17" s="1" t="s">
        <v>141</v>
      </c>
      <c r="D17" s="44">
        <f t="shared" si="1"/>
        <v>30000</v>
      </c>
      <c r="F17" s="1" t="s">
        <v>142</v>
      </c>
      <c r="G17" s="43">
        <v>170.0</v>
      </c>
    </row>
    <row r="18">
      <c r="C18" s="1" t="s">
        <v>33</v>
      </c>
      <c r="D18" s="28">
        <f>D17+D16-D15-D14</f>
        <v>279.75</v>
      </c>
      <c r="F18" s="1" t="s">
        <v>144</v>
      </c>
      <c r="G18" s="43">
        <v>59.0</v>
      </c>
    </row>
    <row r="19">
      <c r="F19" s="1" t="s">
        <v>145</v>
      </c>
      <c r="G19" s="43">
        <v>40.0</v>
      </c>
    </row>
    <row r="20">
      <c r="A20" s="1" t="s">
        <v>146</v>
      </c>
      <c r="B20" s="13">
        <v>5550.0</v>
      </c>
      <c r="C20" s="1" t="s">
        <v>147</v>
      </c>
      <c r="F20" s="1" t="s">
        <v>148</v>
      </c>
      <c r="G20" s="43">
        <v>60.0</v>
      </c>
    </row>
    <row r="21">
      <c r="B21" s="13">
        <v>12950.0</v>
      </c>
      <c r="C21" s="1" t="s">
        <v>98</v>
      </c>
      <c r="F21" s="1" t="s">
        <v>149</v>
      </c>
      <c r="G21" s="43">
        <v>158.0</v>
      </c>
    </row>
    <row r="22">
      <c r="B22" s="13">
        <v>18680.0</v>
      </c>
      <c r="C22" s="1" t="s">
        <v>152</v>
      </c>
      <c r="F22" s="1" t="s">
        <v>153</v>
      </c>
      <c r="G22" s="43">
        <v>150.0</v>
      </c>
    </row>
    <row r="23">
      <c r="B23" s="13">
        <v>5380.0</v>
      </c>
      <c r="C23" s="1" t="s">
        <v>154</v>
      </c>
      <c r="F23" s="1" t="s">
        <v>155</v>
      </c>
      <c r="G23" s="43">
        <v>20.0</v>
      </c>
    </row>
    <row r="24">
      <c r="B24" s="13">
        <v>41300.0</v>
      </c>
      <c r="C24" s="1" t="s">
        <v>107</v>
      </c>
      <c r="F24" s="1" t="s">
        <v>158</v>
      </c>
      <c r="G24" s="43">
        <v>70.0</v>
      </c>
    </row>
    <row r="25">
      <c r="B25" s="13">
        <v>5782.0</v>
      </c>
      <c r="C25" s="1" t="s">
        <v>160</v>
      </c>
      <c r="F25" s="1" t="s">
        <v>161</v>
      </c>
      <c r="G25" s="43">
        <v>45.0</v>
      </c>
    </row>
    <row r="26">
      <c r="A26" s="1" t="s">
        <v>164</v>
      </c>
      <c r="B26" s="28">
        <f>(SUM(B20:B25))*0.18</f>
        <v>16135.56</v>
      </c>
      <c r="F26" s="39" t="s">
        <v>166</v>
      </c>
      <c r="G26" s="53">
        <v>0.0</v>
      </c>
    </row>
    <row r="27">
      <c r="F27" s="1" t="s">
        <v>169</v>
      </c>
      <c r="G27" s="53">
        <v>100.0</v>
      </c>
    </row>
    <row r="28">
      <c r="F28" s="1" t="s">
        <v>170</v>
      </c>
      <c r="G28" s="53">
        <v>70.0</v>
      </c>
    </row>
    <row r="29">
      <c r="F29" s="1" t="s">
        <v>171</v>
      </c>
      <c r="G29" s="54">
        <f>7+45+40</f>
        <v>92</v>
      </c>
    </row>
    <row r="30">
      <c r="F30" s="1" t="s">
        <v>176</v>
      </c>
      <c r="G30" s="53">
        <v>324.0</v>
      </c>
    </row>
    <row r="31">
      <c r="F31" s="39" t="s">
        <v>177</v>
      </c>
      <c r="G31" s="53">
        <v>120.0</v>
      </c>
    </row>
    <row r="32">
      <c r="F32" s="39" t="s">
        <v>178</v>
      </c>
      <c r="G32" s="53">
        <v>16.0</v>
      </c>
    </row>
    <row r="33">
      <c r="F33" s="39" t="s">
        <v>179</v>
      </c>
      <c r="G33" s="39">
        <v>156.0</v>
      </c>
    </row>
    <row r="35">
      <c r="F35" s="1" t="s">
        <v>33</v>
      </c>
      <c r="G35" s="28">
        <f>SUM(G1:G34)</f>
        <v>11390.8</v>
      </c>
    </row>
  </sheetData>
  <mergeCells count="1">
    <mergeCell ref="A1:C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3" max="3" width="9.75"/>
    <col customWidth="1" min="4" max="4" width="10.25"/>
  </cols>
  <sheetData>
    <row r="1">
      <c r="A1" s="4" t="s">
        <v>2</v>
      </c>
      <c r="C1" s="4" t="s">
        <v>8</v>
      </c>
      <c r="E1" s="46" t="s">
        <v>109</v>
      </c>
      <c r="F1" s="46" t="s">
        <v>136</v>
      </c>
    </row>
    <row r="2">
      <c r="A2" s="4" t="s">
        <v>9</v>
      </c>
      <c r="B2" s="4" t="s">
        <v>10</v>
      </c>
      <c r="C2" s="4" t="s">
        <v>11</v>
      </c>
      <c r="D2" s="4" t="s">
        <v>12</v>
      </c>
      <c r="E2" s="47"/>
      <c r="F2" s="47"/>
      <c r="G2" s="48" t="s">
        <v>138</v>
      </c>
      <c r="I2" s="39" t="s">
        <v>139</v>
      </c>
    </row>
    <row r="3">
      <c r="A3" s="10" t="s">
        <v>13</v>
      </c>
      <c r="B3" s="12">
        <v>3.0</v>
      </c>
      <c r="C3" s="15">
        <v>125.0</v>
      </c>
      <c r="D3" s="20">
        <f>B3*C3+1000</f>
        <v>1375</v>
      </c>
      <c r="E3" s="51" t="s">
        <v>143</v>
      </c>
      <c r="F3" s="10" t="s">
        <v>27</v>
      </c>
      <c r="G3" s="52">
        <f>D3+D5+D13+D18+D19+F22+D24+D26</f>
        <v>17591</v>
      </c>
      <c r="H3" s="39" t="s">
        <v>150</v>
      </c>
      <c r="I3" s="13">
        <v>300.0</v>
      </c>
      <c r="J3" s="39" t="s">
        <v>151</v>
      </c>
    </row>
    <row r="4">
      <c r="A4" s="22" t="s">
        <v>31</v>
      </c>
      <c r="B4" s="12">
        <v>12.0</v>
      </c>
      <c r="C4" s="15">
        <v>125.0</v>
      </c>
      <c r="D4" s="20">
        <f t="shared" ref="D4:D5" si="1">B4*C4</f>
        <v>1500</v>
      </c>
      <c r="E4" s="51" t="s">
        <v>143</v>
      </c>
      <c r="F4" s="10" t="s">
        <v>27</v>
      </c>
      <c r="G4" s="52"/>
      <c r="H4" s="13" t="s">
        <v>156</v>
      </c>
      <c r="I4" s="39">
        <v>65.0</v>
      </c>
      <c r="J4" s="39" t="s">
        <v>157</v>
      </c>
    </row>
    <row r="5">
      <c r="A5" s="22" t="s">
        <v>34</v>
      </c>
      <c r="B5" s="12">
        <v>1.0</v>
      </c>
      <c r="C5" s="15">
        <v>36.0</v>
      </c>
      <c r="D5" s="20">
        <f t="shared" si="1"/>
        <v>36</v>
      </c>
      <c r="E5" s="51" t="s">
        <v>143</v>
      </c>
      <c r="F5" s="10" t="s">
        <v>159</v>
      </c>
      <c r="G5" s="19"/>
      <c r="H5" s="13" t="s">
        <v>162</v>
      </c>
      <c r="I5" s="39">
        <v>400.0</v>
      </c>
      <c r="J5" s="39" t="s">
        <v>163</v>
      </c>
    </row>
    <row r="6">
      <c r="A6" s="12" t="s">
        <v>36</v>
      </c>
      <c r="B6" s="12">
        <v>2.0</v>
      </c>
      <c r="C6" s="15">
        <v>1534.0</v>
      </c>
      <c r="D6" s="20">
        <f>B6*C6+60</f>
        <v>3128</v>
      </c>
      <c r="E6" s="10" t="s">
        <v>143</v>
      </c>
      <c r="F6" s="51" t="s">
        <v>159</v>
      </c>
      <c r="G6" s="19"/>
      <c r="H6" s="13" t="s">
        <v>162</v>
      </c>
      <c r="I6" s="39">
        <v>709.0</v>
      </c>
      <c r="J6" s="39" t="s">
        <v>165</v>
      </c>
    </row>
    <row r="7">
      <c r="A7" s="22" t="s">
        <v>40</v>
      </c>
      <c r="B7" s="12">
        <v>1.0</v>
      </c>
      <c r="C7" s="15">
        <v>472.0</v>
      </c>
      <c r="D7" s="15">
        <f t="shared" ref="D7:D10" si="2">B7*C7</f>
        <v>472</v>
      </c>
      <c r="E7" s="51" t="s">
        <v>143</v>
      </c>
      <c r="F7" s="51" t="s">
        <v>159</v>
      </c>
      <c r="G7" s="52"/>
      <c r="H7" s="13" t="s">
        <v>167</v>
      </c>
      <c r="I7" s="39">
        <v>820.0</v>
      </c>
      <c r="J7" s="39" t="s">
        <v>168</v>
      </c>
    </row>
    <row r="8">
      <c r="A8" s="22" t="s">
        <v>45</v>
      </c>
      <c r="B8" s="12">
        <v>3.0</v>
      </c>
      <c r="C8" s="15">
        <v>590.0</v>
      </c>
      <c r="D8" s="20">
        <f t="shared" si="2"/>
        <v>1770</v>
      </c>
      <c r="E8" s="51" t="s">
        <v>143</v>
      </c>
      <c r="F8" s="10" t="s">
        <v>159</v>
      </c>
      <c r="G8" s="52"/>
      <c r="H8" s="13" t="s">
        <v>172</v>
      </c>
      <c r="I8" s="39">
        <v>200.0</v>
      </c>
      <c r="J8" s="39" t="s">
        <v>173</v>
      </c>
    </row>
    <row r="9">
      <c r="A9" s="22" t="s">
        <v>47</v>
      </c>
      <c r="B9" s="22">
        <v>2.0</v>
      </c>
      <c r="C9" s="15">
        <v>708.0</v>
      </c>
      <c r="D9" s="20">
        <f t="shared" si="2"/>
        <v>1416</v>
      </c>
      <c r="E9" s="51" t="s">
        <v>143</v>
      </c>
      <c r="F9" s="51" t="s">
        <v>159</v>
      </c>
      <c r="G9" s="52"/>
      <c r="H9" s="13" t="s">
        <v>174</v>
      </c>
      <c r="I9" s="39">
        <v>335.0</v>
      </c>
      <c r="J9" s="39" t="s">
        <v>175</v>
      </c>
    </row>
    <row r="10">
      <c r="A10" s="22" t="s">
        <v>50</v>
      </c>
      <c r="B10" s="22">
        <v>2.0</v>
      </c>
      <c r="C10" s="15">
        <v>105.0</v>
      </c>
      <c r="D10" s="20">
        <f t="shared" si="2"/>
        <v>210</v>
      </c>
      <c r="E10" s="51" t="s">
        <v>143</v>
      </c>
      <c r="F10" s="51" t="s">
        <v>159</v>
      </c>
      <c r="G10" s="52"/>
      <c r="H10" s="39" t="s">
        <v>109</v>
      </c>
      <c r="I10" s="39">
        <v>500.0</v>
      </c>
      <c r="J10" s="39" t="s">
        <v>180</v>
      </c>
    </row>
    <row r="11">
      <c r="A11" s="27" t="s">
        <v>52</v>
      </c>
      <c r="B11" s="22"/>
      <c r="C11" s="20"/>
      <c r="D11" s="20">
        <f>79+69+13+31+98+98+98+500</f>
        <v>986</v>
      </c>
      <c r="E11" s="51" t="s">
        <v>143</v>
      </c>
      <c r="F11" s="10" t="s">
        <v>159</v>
      </c>
      <c r="G11" s="52"/>
      <c r="H11" s="39" t="s">
        <v>109</v>
      </c>
      <c r="I11" s="39">
        <v>400.0</v>
      </c>
      <c r="J11" s="39" t="s">
        <v>181</v>
      </c>
    </row>
    <row r="12">
      <c r="A12" s="22" t="s">
        <v>54</v>
      </c>
      <c r="B12" s="12" t="s">
        <v>182</v>
      </c>
      <c r="C12" s="15">
        <v>5550.0</v>
      </c>
      <c r="D12" s="15">
        <f t="shared" ref="D12:D13" si="3">C12</f>
        <v>5550</v>
      </c>
      <c r="E12" s="51" t="s">
        <v>143</v>
      </c>
      <c r="F12" s="10" t="s">
        <v>159</v>
      </c>
      <c r="G12" s="52"/>
      <c r="H12" s="39" t="s">
        <v>183</v>
      </c>
      <c r="I12" s="39">
        <v>40.0</v>
      </c>
      <c r="J12" s="39" t="s">
        <v>184</v>
      </c>
    </row>
    <row r="13">
      <c r="A13" s="22" t="s">
        <v>57</v>
      </c>
      <c r="B13" s="22" t="s">
        <v>185</v>
      </c>
      <c r="C13" s="15">
        <v>4000.0</v>
      </c>
      <c r="D13" s="15">
        <f t="shared" si="3"/>
        <v>4000</v>
      </c>
      <c r="E13" s="51" t="s">
        <v>143</v>
      </c>
      <c r="F13" s="10" t="s">
        <v>27</v>
      </c>
      <c r="G13" s="52"/>
      <c r="H13" s="39" t="s">
        <v>186</v>
      </c>
      <c r="I13" s="39">
        <v>580.0</v>
      </c>
      <c r="J13" s="39" t="s">
        <v>187</v>
      </c>
    </row>
    <row r="14">
      <c r="A14" s="10" t="s">
        <v>60</v>
      </c>
      <c r="B14" s="12">
        <v>30.0</v>
      </c>
      <c r="C14" s="15">
        <v>15.0</v>
      </c>
      <c r="D14" s="20">
        <f>B14*C14</f>
        <v>450</v>
      </c>
      <c r="E14" s="51" t="s">
        <v>143</v>
      </c>
      <c r="F14" s="51" t="s">
        <v>159</v>
      </c>
      <c r="G14" s="52"/>
      <c r="H14" s="39" t="s">
        <v>162</v>
      </c>
      <c r="I14" s="39">
        <v>1605.0</v>
      </c>
      <c r="J14" s="39" t="s">
        <v>188</v>
      </c>
    </row>
    <row r="15">
      <c r="A15" s="22" t="s">
        <v>62</v>
      </c>
      <c r="B15" s="22" t="s">
        <v>63</v>
      </c>
      <c r="C15" s="15">
        <f>7806+140</f>
        <v>7946</v>
      </c>
      <c r="D15" s="20">
        <f>C15</f>
        <v>7946</v>
      </c>
      <c r="E15" s="51" t="s">
        <v>143</v>
      </c>
      <c r="F15" s="10" t="s">
        <v>159</v>
      </c>
      <c r="G15" s="52"/>
    </row>
    <row r="16">
      <c r="A16" s="12" t="s">
        <v>65</v>
      </c>
      <c r="B16" s="12">
        <v>1.0</v>
      </c>
      <c r="C16" s="15">
        <v>850.0</v>
      </c>
      <c r="D16" s="15">
        <f>B16*C16+80</f>
        <v>930</v>
      </c>
      <c r="E16" s="51" t="s">
        <v>143</v>
      </c>
      <c r="F16" s="10" t="s">
        <v>159</v>
      </c>
      <c r="G16" s="52"/>
    </row>
    <row r="17">
      <c r="A17" s="1" t="s">
        <v>189</v>
      </c>
      <c r="B17" s="14">
        <v>3.0</v>
      </c>
      <c r="C17" s="35">
        <v>159.0</v>
      </c>
      <c r="D17" s="35">
        <f>B17*C17</f>
        <v>477</v>
      </c>
      <c r="E17" s="51" t="s">
        <v>143</v>
      </c>
      <c r="F17" s="1" t="s">
        <v>159</v>
      </c>
      <c r="G17" s="19"/>
      <c r="H17" s="55" t="s">
        <v>190</v>
      </c>
      <c r="I17" s="1"/>
    </row>
    <row r="18">
      <c r="A18" s="12" t="s">
        <v>68</v>
      </c>
      <c r="B18" s="47"/>
      <c r="C18" s="20"/>
      <c r="D18" s="15">
        <v>200.0</v>
      </c>
      <c r="E18" s="51" t="s">
        <v>143</v>
      </c>
      <c r="F18" s="10" t="s">
        <v>27</v>
      </c>
      <c r="G18" s="52"/>
      <c r="H18" s="55" t="s">
        <v>191</v>
      </c>
      <c r="I18" s="1" t="s">
        <v>192</v>
      </c>
      <c r="J18" s="39">
        <v>1000.0</v>
      </c>
    </row>
    <row r="19">
      <c r="A19" s="22" t="s">
        <v>70</v>
      </c>
      <c r="B19" s="12" t="s">
        <v>193</v>
      </c>
      <c r="C19" s="20"/>
      <c r="D19" s="15">
        <v>900.0</v>
      </c>
      <c r="E19" s="51" t="s">
        <v>143</v>
      </c>
      <c r="F19" s="10" t="s">
        <v>27</v>
      </c>
      <c r="G19" s="52"/>
      <c r="H19" s="28"/>
      <c r="I19" s="1" t="s">
        <v>194</v>
      </c>
      <c r="J19" s="39">
        <v>1000.0</v>
      </c>
    </row>
    <row r="20">
      <c r="A20" s="22" t="s">
        <v>73</v>
      </c>
      <c r="B20" s="10">
        <f>D20/C20</f>
        <v>38</v>
      </c>
      <c r="C20" s="15">
        <v>30.0</v>
      </c>
      <c r="D20" s="20">
        <f>150+150+180+360+300</f>
        <v>1140</v>
      </c>
      <c r="E20" s="51" t="s">
        <v>143</v>
      </c>
      <c r="F20" s="10" t="s">
        <v>159</v>
      </c>
      <c r="G20" s="52"/>
      <c r="H20" s="28"/>
      <c r="I20" s="1" t="s">
        <v>195</v>
      </c>
      <c r="J20" s="39">
        <v>555.0</v>
      </c>
    </row>
    <row r="21">
      <c r="A21" s="22" t="s">
        <v>75</v>
      </c>
      <c r="B21" s="12">
        <v>700.0</v>
      </c>
      <c r="C21" s="15">
        <v>14.0</v>
      </c>
      <c r="D21" s="20">
        <f>((B21*C21)/2)*1.18+((B21*C21)/2)</f>
        <v>10682</v>
      </c>
      <c r="E21" s="56" t="s">
        <v>143</v>
      </c>
      <c r="F21" s="56" t="s">
        <v>196</v>
      </c>
      <c r="G21" s="52"/>
      <c r="H21" s="28"/>
      <c r="I21" s="1" t="s">
        <v>197</v>
      </c>
      <c r="J21" s="39">
        <v>1400.0</v>
      </c>
    </row>
    <row r="22">
      <c r="A22" s="22" t="s">
        <v>77</v>
      </c>
      <c r="B22" s="22">
        <f>(40*2+20*2)*2.5</f>
        <v>300</v>
      </c>
      <c r="C22" s="15">
        <v>14.0</v>
      </c>
      <c r="D22" s="20">
        <f t="shared" ref="D22:D29" si="4">B22*C22</f>
        <v>4200</v>
      </c>
      <c r="E22" s="56" t="s">
        <v>143</v>
      </c>
      <c r="F22" s="57">
        <f>((B21*C21)/2)+D22+D23</f>
        <v>9600</v>
      </c>
      <c r="G22" s="52"/>
      <c r="I22" s="1" t="s">
        <v>198</v>
      </c>
      <c r="J22" s="39">
        <v>0.0</v>
      </c>
    </row>
    <row r="23">
      <c r="A23" s="1" t="s">
        <v>79</v>
      </c>
      <c r="B23" s="14">
        <v>1.0</v>
      </c>
      <c r="C23" s="35">
        <v>500.0</v>
      </c>
      <c r="D23" s="36">
        <f t="shared" si="4"/>
        <v>500</v>
      </c>
      <c r="E23" s="56" t="s">
        <v>143</v>
      </c>
      <c r="F23" s="56" t="s">
        <v>199</v>
      </c>
      <c r="G23" s="52"/>
      <c r="H23" s="55" t="s">
        <v>200</v>
      </c>
      <c r="I23" s="39">
        <v>38.0</v>
      </c>
      <c r="J23" s="58">
        <f>I23*1500</f>
        <v>57000</v>
      </c>
    </row>
    <row r="24">
      <c r="A24" s="22" t="s">
        <v>81</v>
      </c>
      <c r="B24" s="12">
        <v>0.0</v>
      </c>
      <c r="C24" s="20">
        <v>220.0</v>
      </c>
      <c r="D24" s="20">
        <f t="shared" si="4"/>
        <v>0</v>
      </c>
      <c r="E24" s="51" t="s">
        <v>143</v>
      </c>
      <c r="F24" s="51" t="s">
        <v>27</v>
      </c>
      <c r="G24" s="52"/>
      <c r="H24" s="55" t="s">
        <v>33</v>
      </c>
      <c r="I24" s="58">
        <f>I23+5</f>
        <v>43</v>
      </c>
      <c r="J24" s="58">
        <f>SUM(J18:J23)</f>
        <v>60955</v>
      </c>
    </row>
    <row r="25">
      <c r="A25" s="14" t="s">
        <v>201</v>
      </c>
      <c r="B25" s="14">
        <v>1.0</v>
      </c>
      <c r="C25" s="35">
        <v>1280.0</v>
      </c>
      <c r="D25" s="36">
        <f t="shared" si="4"/>
        <v>1280</v>
      </c>
      <c r="E25" s="51" t="s">
        <v>143</v>
      </c>
      <c r="F25" s="51" t="s">
        <v>159</v>
      </c>
      <c r="G25" s="52"/>
      <c r="H25" s="28"/>
    </row>
    <row r="26">
      <c r="A26" s="6" t="s">
        <v>83</v>
      </c>
      <c r="B26" s="14">
        <v>1.0</v>
      </c>
      <c r="C26" s="35">
        <f>380+500+600</f>
        <v>1480</v>
      </c>
      <c r="D26" s="35">
        <f t="shared" si="4"/>
        <v>1480</v>
      </c>
      <c r="E26" s="30" t="s">
        <v>143</v>
      </c>
      <c r="F26" s="51" t="s">
        <v>27</v>
      </c>
      <c r="G26" s="52"/>
      <c r="H26" s="28"/>
    </row>
    <row r="27">
      <c r="A27" s="1" t="s">
        <v>202</v>
      </c>
      <c r="B27" s="14">
        <v>1.0</v>
      </c>
      <c r="C27" s="35">
        <v>235.0</v>
      </c>
      <c r="D27" s="35">
        <f t="shared" si="4"/>
        <v>235</v>
      </c>
      <c r="E27" s="51" t="s">
        <v>143</v>
      </c>
      <c r="F27" s="51" t="s">
        <v>25</v>
      </c>
    </row>
    <row r="28">
      <c r="A28" s="1" t="s">
        <v>85</v>
      </c>
      <c r="B28" s="14">
        <v>1.0</v>
      </c>
      <c r="C28" s="35">
        <v>2200.0</v>
      </c>
      <c r="D28" s="36">
        <f t="shared" si="4"/>
        <v>2200</v>
      </c>
      <c r="E28" s="1" t="s">
        <v>203</v>
      </c>
      <c r="F28" s="1" t="s">
        <v>204</v>
      </c>
    </row>
    <row r="29">
      <c r="A29" s="1" t="s">
        <v>87</v>
      </c>
      <c r="B29" s="39">
        <v>1.0</v>
      </c>
      <c r="C29" s="36">
        <f>1140/2</f>
        <v>570</v>
      </c>
      <c r="D29" s="36">
        <f t="shared" si="4"/>
        <v>570</v>
      </c>
    </row>
    <row r="30">
      <c r="C30" s="59"/>
      <c r="D30" s="59"/>
    </row>
    <row r="31">
      <c r="A31" s="22" t="s">
        <v>90</v>
      </c>
      <c r="B31" s="22">
        <v>1.0</v>
      </c>
      <c r="C31" s="15">
        <f>SUM(I3:I14)</f>
        <v>5954</v>
      </c>
      <c r="D31" s="15">
        <f>C31</f>
        <v>5954</v>
      </c>
    </row>
    <row r="32">
      <c r="C32" s="22" t="s">
        <v>33</v>
      </c>
      <c r="D32" s="37">
        <f>SUM(D3:D31)</f>
        <v>59587</v>
      </c>
      <c r="E32" s="60">
        <f>J24-D32</f>
        <v>1368</v>
      </c>
      <c r="F32" s="39" t="s">
        <v>205</v>
      </c>
    </row>
  </sheetData>
  <mergeCells count="2">
    <mergeCell ref="A1:B1"/>
    <mergeCell ref="C1:D1"/>
  </mergeCells>
  <drawing r:id="rId1"/>
</worksheet>
</file>